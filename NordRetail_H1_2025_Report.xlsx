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ProjektPortfolio\Analiza finansowo-budżetowa, portfolio\"/>
    </mc:Choice>
  </mc:AlternateContent>
  <xr:revisionPtr revIDLastSave="0" documentId="13_ncr:1_{4CD8300E-E40A-4B5C-AFB0-6D1425E1150F}" xr6:coauthVersionLast="47" xr6:coauthVersionMax="47" xr10:uidLastSave="{00000000-0000-0000-0000-000000000000}"/>
  <bookViews>
    <workbookView xWindow="-120" yWindow="-120" windowWidth="29040" windowHeight="15720" tabRatio="921" activeTab="4" xr2:uid="{00000000-000D-0000-FFFF-FFFF00000000}"/>
  </bookViews>
  <sheets>
    <sheet name="Account-Overview" sheetId="3" r:id="rId1"/>
    <sheet name="Actuals (from Accounting)" sheetId="1" r:id="rId2"/>
    <sheet name="Budget (from Controlling)" sheetId="2" r:id="rId3"/>
    <sheet name="Rev_by_region" sheetId="16" r:id="rId4"/>
    <sheet name="Budget (from Controlling)_copy" sheetId="9" r:id="rId5"/>
    <sheet name="tActuals" sheetId="5" r:id="rId6"/>
    <sheet name="P&amp;L ACTUALS" sheetId="7" r:id="rId7"/>
    <sheet name="P&amp;L ACTUALS+EST" sheetId="8" r:id="rId8"/>
    <sheet name="P&amp;L MONTHLY" sheetId="11" r:id="rId9"/>
    <sheet name="KPI TRENDS" sheetId="12" r:id="rId10"/>
    <sheet name="CHARTS" sheetId="13" r:id="rId11"/>
    <sheet name="COMMENTS" sheetId="14" r:id="rId12"/>
  </sheets>
  <definedNames>
    <definedName name="_xlnm._FilterDatabase" localSheetId="8" hidden="1">'P&amp;L MONTHLY'!$A$3:$AJ$24</definedName>
    <definedName name="ExternalData_1" localSheetId="5" hidden="1">tActuals!$A$1:$F$466</definedName>
  </definedNames>
  <calcPr calcId="191029" iterateDelta="1E-4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Z2" i="16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Y2" i="16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C5" i="13" l="1" a="1"/>
  <c r="C5" i="13" s="1"/>
  <c r="C6" i="13" a="1"/>
  <c r="C6" i="13" s="1"/>
  <c r="C7" i="13" a="1"/>
  <c r="C7" i="13" s="1"/>
  <c r="C8" i="13" a="1"/>
  <c r="C8" i="13" s="1"/>
  <c r="C9" i="13" a="1"/>
  <c r="C9" i="13" s="1"/>
  <c r="C4" i="13" a="1"/>
  <c r="C4" i="13" s="1"/>
  <c r="N6" i="12"/>
  <c r="N10" i="12"/>
  <c r="N12" i="12"/>
  <c r="N15" i="12"/>
  <c r="N20" i="12"/>
  <c r="S10" i="11"/>
  <c r="N23" i="11"/>
  <c r="N17" i="11"/>
  <c r="N16" i="11"/>
  <c r="N10" i="11"/>
  <c r="I23" i="11"/>
  <c r="I22" i="11"/>
  <c r="I21" i="11"/>
  <c r="I19" i="11"/>
  <c r="I16" i="11"/>
  <c r="I10" i="11"/>
  <c r="I8" i="11"/>
  <c r="I7" i="11"/>
  <c r="U3" i="8"/>
  <c r="J5" i="12" s="1"/>
  <c r="J8" i="12" s="1"/>
  <c r="V3" i="8"/>
  <c r="K5" i="12" s="1"/>
  <c r="K8" i="12" s="1"/>
  <c r="W3" i="8"/>
  <c r="L5" i="12" s="1"/>
  <c r="L8" i="12" s="1"/>
  <c r="X3" i="8"/>
  <c r="M5" i="12" s="1"/>
  <c r="M8" i="12" s="1"/>
  <c r="Y3" i="8"/>
  <c r="AC6" i="11" s="1"/>
  <c r="U4" i="8"/>
  <c r="V4" i="8"/>
  <c r="N7" i="11" s="1"/>
  <c r="W4" i="8"/>
  <c r="S7" i="11" s="1"/>
  <c r="X4" i="8"/>
  <c r="X7" i="11" s="1"/>
  <c r="Y4" i="8"/>
  <c r="AC7" i="11" s="1"/>
  <c r="U5" i="8"/>
  <c r="J6" i="12" s="1"/>
  <c r="J7" i="12" s="1"/>
  <c r="V5" i="8"/>
  <c r="K6" i="12" s="1"/>
  <c r="W5" i="8"/>
  <c r="L6" i="12" s="1"/>
  <c r="X5" i="8"/>
  <c r="M6" i="12" s="1"/>
  <c r="Y5" i="8"/>
  <c r="AC8" i="11" s="1"/>
  <c r="U6" i="8"/>
  <c r="V6" i="8"/>
  <c r="W6" i="8"/>
  <c r="X6" i="8"/>
  <c r="X10" i="11" s="1"/>
  <c r="Y6" i="8"/>
  <c r="AC10" i="11" s="1"/>
  <c r="U7" i="8"/>
  <c r="I11" i="11" s="1"/>
  <c r="V7" i="8"/>
  <c r="N11" i="11" s="1"/>
  <c r="W7" i="8"/>
  <c r="S11" i="11" s="1"/>
  <c r="X7" i="8"/>
  <c r="X11" i="11" s="1"/>
  <c r="Y7" i="8"/>
  <c r="AC11" i="11" s="1"/>
  <c r="U8" i="8"/>
  <c r="I12" i="11" s="1"/>
  <c r="V8" i="8"/>
  <c r="N12" i="11" s="1"/>
  <c r="W8" i="8"/>
  <c r="S12" i="11" s="1"/>
  <c r="X8" i="8"/>
  <c r="X12" i="11" s="1"/>
  <c r="Y8" i="8"/>
  <c r="AC12" i="11" s="1"/>
  <c r="U9" i="8"/>
  <c r="J10" i="12" s="1"/>
  <c r="J11" i="12" s="1"/>
  <c r="V9" i="8"/>
  <c r="K10" i="12" s="1"/>
  <c r="W9" i="8"/>
  <c r="L10" i="12" s="1"/>
  <c r="X9" i="8"/>
  <c r="M10" i="12" s="1"/>
  <c r="Y9" i="8"/>
  <c r="AC13" i="11" s="1"/>
  <c r="U10" i="8"/>
  <c r="J12" i="12" s="1"/>
  <c r="J13" i="12" s="1"/>
  <c r="V10" i="8"/>
  <c r="K12" i="12" s="1"/>
  <c r="W10" i="8"/>
  <c r="L12" i="12" s="1"/>
  <c r="X10" i="8"/>
  <c r="M12" i="12" s="1"/>
  <c r="Y10" i="8"/>
  <c r="AC14" i="11" s="1"/>
  <c r="U11" i="8"/>
  <c r="V11" i="8"/>
  <c r="W11" i="8"/>
  <c r="S16" i="11" s="1"/>
  <c r="X11" i="8"/>
  <c r="X16" i="11" s="1"/>
  <c r="Y11" i="8"/>
  <c r="AC16" i="11" s="1"/>
  <c r="U12" i="8"/>
  <c r="I17" i="11" s="1"/>
  <c r="V12" i="8"/>
  <c r="W12" i="8"/>
  <c r="S17" i="11" s="1"/>
  <c r="X12" i="8"/>
  <c r="X17" i="11" s="1"/>
  <c r="Y12" i="8"/>
  <c r="AC17" i="11" s="1"/>
  <c r="U13" i="8"/>
  <c r="I18" i="11" s="1"/>
  <c r="V13" i="8"/>
  <c r="N18" i="11" s="1"/>
  <c r="W13" i="8"/>
  <c r="S18" i="11" s="1"/>
  <c r="X13" i="8"/>
  <c r="X18" i="11" s="1"/>
  <c r="Y13" i="8"/>
  <c r="AC18" i="11" s="1"/>
  <c r="U14" i="8"/>
  <c r="V14" i="8"/>
  <c r="N19" i="11" s="1"/>
  <c r="W14" i="8"/>
  <c r="S19" i="11" s="1"/>
  <c r="X14" i="8"/>
  <c r="X19" i="11" s="1"/>
  <c r="Y14" i="8"/>
  <c r="AC19" i="11" s="1"/>
  <c r="U15" i="8"/>
  <c r="I20" i="11" s="1"/>
  <c r="V15" i="8"/>
  <c r="N20" i="11" s="1"/>
  <c r="W15" i="8"/>
  <c r="S20" i="11" s="1"/>
  <c r="X15" i="8"/>
  <c r="X20" i="11" s="1"/>
  <c r="Y15" i="8"/>
  <c r="AC20" i="11" s="1"/>
  <c r="U16" i="8"/>
  <c r="V16" i="8"/>
  <c r="N21" i="11" s="1"/>
  <c r="W16" i="8"/>
  <c r="S21" i="11" s="1"/>
  <c r="X16" i="8"/>
  <c r="X21" i="11" s="1"/>
  <c r="Y16" i="8"/>
  <c r="AC21" i="11" s="1"/>
  <c r="U17" i="8"/>
  <c r="J15" i="12" s="1"/>
  <c r="J16" i="12" s="1"/>
  <c r="V17" i="8"/>
  <c r="K15" i="12" s="1"/>
  <c r="W17" i="8"/>
  <c r="L15" i="12" s="1"/>
  <c r="X17" i="8"/>
  <c r="M15" i="12" s="1"/>
  <c r="Y17" i="8"/>
  <c r="AC22" i="11" s="1"/>
  <c r="U18" i="8"/>
  <c r="J20" i="12" s="1"/>
  <c r="J21" i="12" s="1"/>
  <c r="V18" i="8"/>
  <c r="K20" i="12" s="1"/>
  <c r="W18" i="8"/>
  <c r="L20" i="12" s="1"/>
  <c r="X18" i="8"/>
  <c r="M20" i="12" s="1"/>
  <c r="Y18" i="8"/>
  <c r="AC23" i="11" s="1"/>
  <c r="T4" i="8"/>
  <c r="D7" i="11" s="1"/>
  <c r="T5" i="8"/>
  <c r="I6" i="12" s="1"/>
  <c r="T6" i="8"/>
  <c r="T7" i="8"/>
  <c r="D11" i="11" s="1"/>
  <c r="T8" i="8"/>
  <c r="T9" i="8"/>
  <c r="I10" i="12" s="1"/>
  <c r="T10" i="8"/>
  <c r="I12" i="12" s="1"/>
  <c r="T11" i="8"/>
  <c r="T12" i="8"/>
  <c r="T13" i="8"/>
  <c r="T14" i="8"/>
  <c r="T15" i="8"/>
  <c r="D20" i="11" s="1"/>
  <c r="T16" i="8"/>
  <c r="T17" i="8"/>
  <c r="I15" i="12" s="1"/>
  <c r="T18" i="8"/>
  <c r="I20" i="12" s="1"/>
  <c r="T3" i="8"/>
  <c r="D6" i="11" s="1"/>
  <c r="D10" i="11"/>
  <c r="D12" i="11"/>
  <c r="D13" i="11"/>
  <c r="D17" i="11"/>
  <c r="D18" i="11"/>
  <c r="D19" i="11"/>
  <c r="D21" i="11"/>
  <c r="D23" i="11"/>
  <c r="N18" i="9"/>
  <c r="M18" i="9"/>
  <c r="L18" i="9"/>
  <c r="K18" i="9"/>
  <c r="J18" i="9"/>
  <c r="I18" i="9"/>
  <c r="H18" i="9"/>
  <c r="G18" i="9"/>
  <c r="F18" i="9"/>
  <c r="E18" i="9"/>
  <c r="D18" i="9"/>
  <c r="C18" i="9"/>
  <c r="N10" i="9"/>
  <c r="M10" i="9"/>
  <c r="L10" i="9"/>
  <c r="K10" i="9"/>
  <c r="J10" i="9"/>
  <c r="I10" i="9"/>
  <c r="H10" i="9"/>
  <c r="G10" i="9"/>
  <c r="F10" i="9"/>
  <c r="E10" i="9"/>
  <c r="D10" i="9"/>
  <c r="C10" i="9"/>
  <c r="N6" i="9"/>
  <c r="N11" i="9" s="1"/>
  <c r="N19" i="9" s="1"/>
  <c r="M6" i="9"/>
  <c r="L6" i="9"/>
  <c r="L11" i="9" s="1"/>
  <c r="L19" i="9" s="1"/>
  <c r="K6" i="9"/>
  <c r="K11" i="9" s="1"/>
  <c r="K19" i="9" s="1"/>
  <c r="J6" i="9"/>
  <c r="J11" i="9" s="1"/>
  <c r="I6" i="9"/>
  <c r="I11" i="9" s="1"/>
  <c r="H6" i="9"/>
  <c r="H11" i="9" s="1"/>
  <c r="G6" i="9"/>
  <c r="F6" i="9"/>
  <c r="E6" i="9"/>
  <c r="D6" i="9"/>
  <c r="D11" i="9" s="1"/>
  <c r="D19" i="9" s="1"/>
  <c r="C6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3" i="7"/>
  <c r="I3" i="8" s="1"/>
  <c r="J17" i="12" l="1"/>
  <c r="K13" i="12"/>
  <c r="K16" i="12"/>
  <c r="G3" i="8"/>
  <c r="AB6" i="11" s="1"/>
  <c r="K11" i="12"/>
  <c r="S3" i="8"/>
  <c r="G5" i="12" s="1"/>
  <c r="K17" i="12"/>
  <c r="K21" i="12"/>
  <c r="I5" i="8"/>
  <c r="D18" i="8"/>
  <c r="M23" i="11" s="1"/>
  <c r="J12" i="8"/>
  <c r="K7" i="8"/>
  <c r="B17" i="8"/>
  <c r="C22" i="11" s="1"/>
  <c r="N17" i="8"/>
  <c r="B22" i="11" s="1"/>
  <c r="Q14" i="8"/>
  <c r="Q19" i="11" s="1"/>
  <c r="O12" i="8"/>
  <c r="B13" i="8"/>
  <c r="C18" i="11" s="1"/>
  <c r="Q18" i="8"/>
  <c r="Q23" i="11" s="1"/>
  <c r="E18" i="8"/>
  <c r="R23" i="11" s="1"/>
  <c r="J17" i="8"/>
  <c r="O16" i="8"/>
  <c r="G21" i="11" s="1"/>
  <c r="C16" i="8"/>
  <c r="H21" i="11" s="1"/>
  <c r="H15" i="8"/>
  <c r="M14" i="8"/>
  <c r="R13" i="8"/>
  <c r="V18" i="11" s="1"/>
  <c r="Y18" i="11" s="1"/>
  <c r="Z18" i="11" s="1"/>
  <c r="F13" i="8"/>
  <c r="W18" i="11" s="1"/>
  <c r="K12" i="8"/>
  <c r="P11" i="8"/>
  <c r="D11" i="8"/>
  <c r="M16" i="11" s="1"/>
  <c r="I10" i="8"/>
  <c r="N9" i="8"/>
  <c r="S8" i="8"/>
  <c r="AA12" i="11" s="1"/>
  <c r="AD12" i="11" s="1"/>
  <c r="AE12" i="11" s="1"/>
  <c r="G8" i="8"/>
  <c r="AB12" i="11" s="1"/>
  <c r="L7" i="8"/>
  <c r="Q6" i="8"/>
  <c r="Q10" i="11" s="1"/>
  <c r="T10" i="11" s="1"/>
  <c r="U10" i="11" s="1"/>
  <c r="E6" i="8"/>
  <c r="R10" i="11" s="1"/>
  <c r="J5" i="8"/>
  <c r="O4" i="8"/>
  <c r="G7" i="11" s="1"/>
  <c r="C4" i="8"/>
  <c r="H7" i="11" s="1"/>
  <c r="H3" i="8"/>
  <c r="B11" i="8"/>
  <c r="O18" i="8"/>
  <c r="C20" i="12" s="1"/>
  <c r="C18" i="8"/>
  <c r="H23" i="11" s="1"/>
  <c r="H17" i="8"/>
  <c r="M16" i="8"/>
  <c r="R15" i="8"/>
  <c r="V20" i="11" s="1"/>
  <c r="F15" i="8"/>
  <c r="W20" i="11" s="1"/>
  <c r="K14" i="8"/>
  <c r="P13" i="8"/>
  <c r="L18" i="11" s="1"/>
  <c r="O18" i="11" s="1"/>
  <c r="P18" i="11" s="1"/>
  <c r="D13" i="8"/>
  <c r="M18" i="11" s="1"/>
  <c r="I12" i="8"/>
  <c r="N11" i="8"/>
  <c r="S10" i="8"/>
  <c r="AA14" i="11" s="1"/>
  <c r="G10" i="8"/>
  <c r="AB14" i="11" s="1"/>
  <c r="L9" i="8"/>
  <c r="Q8" i="8"/>
  <c r="Q12" i="11" s="1"/>
  <c r="T12" i="11" s="1"/>
  <c r="U12" i="11" s="1"/>
  <c r="E8" i="8"/>
  <c r="R12" i="11" s="1"/>
  <c r="J7" i="8"/>
  <c r="O6" i="8"/>
  <c r="G10" i="11" s="1"/>
  <c r="C6" i="8"/>
  <c r="H10" i="11" s="1"/>
  <c r="H5" i="8"/>
  <c r="M4" i="8"/>
  <c r="R3" i="8"/>
  <c r="F3" i="8"/>
  <c r="W6" i="11" s="1"/>
  <c r="P18" i="8"/>
  <c r="D20" i="12" s="1"/>
  <c r="O11" i="8"/>
  <c r="G16" i="11" s="1"/>
  <c r="P6" i="8"/>
  <c r="L10" i="11" s="1"/>
  <c r="B10" i="8"/>
  <c r="N18" i="8"/>
  <c r="B23" i="11" s="1"/>
  <c r="S17" i="8"/>
  <c r="G15" i="12" s="1"/>
  <c r="G16" i="12" s="1"/>
  <c r="G17" i="8"/>
  <c r="AB22" i="11" s="1"/>
  <c r="L16" i="8"/>
  <c r="Q15" i="8"/>
  <c r="Q20" i="11" s="1"/>
  <c r="T20" i="11" s="1"/>
  <c r="U20" i="11" s="1"/>
  <c r="E15" i="8"/>
  <c r="R20" i="11" s="1"/>
  <c r="J14" i="8"/>
  <c r="O13" i="8"/>
  <c r="G18" i="11" s="1"/>
  <c r="C13" i="8"/>
  <c r="H18" i="11" s="1"/>
  <c r="H12" i="8"/>
  <c r="M11" i="8"/>
  <c r="R10" i="8"/>
  <c r="V14" i="11" s="1"/>
  <c r="F10" i="8"/>
  <c r="W14" i="11" s="1"/>
  <c r="K9" i="8"/>
  <c r="P8" i="8"/>
  <c r="L12" i="11" s="1"/>
  <c r="O12" i="11" s="1"/>
  <c r="P12" i="11" s="1"/>
  <c r="D8" i="8"/>
  <c r="M12" i="11" s="1"/>
  <c r="I7" i="8"/>
  <c r="N6" i="8"/>
  <c r="B10" i="11" s="1"/>
  <c r="S5" i="8"/>
  <c r="G6" i="12" s="1"/>
  <c r="G5" i="8"/>
  <c r="AB8" i="11" s="1"/>
  <c r="L4" i="8"/>
  <c r="Q3" i="8"/>
  <c r="E3" i="8"/>
  <c r="R6" i="11" s="1"/>
  <c r="AA6" i="11"/>
  <c r="S15" i="8"/>
  <c r="AA20" i="11" s="1"/>
  <c r="R8" i="8"/>
  <c r="V12" i="11" s="1"/>
  <c r="M18" i="8"/>
  <c r="F17" i="8"/>
  <c r="W22" i="11" s="1"/>
  <c r="K16" i="8"/>
  <c r="D15" i="8"/>
  <c r="M20" i="11" s="1"/>
  <c r="I14" i="8"/>
  <c r="N13" i="8"/>
  <c r="B18" i="11" s="1"/>
  <c r="S12" i="8"/>
  <c r="AA17" i="11" s="1"/>
  <c r="G12" i="8"/>
  <c r="AB17" i="11" s="1"/>
  <c r="L11" i="8"/>
  <c r="Q10" i="8"/>
  <c r="Q14" i="11" s="1"/>
  <c r="E10" i="8"/>
  <c r="R14" i="11" s="1"/>
  <c r="J9" i="8"/>
  <c r="O8" i="8"/>
  <c r="G12" i="11" s="1"/>
  <c r="J12" i="11" s="1"/>
  <c r="K12" i="11" s="1"/>
  <c r="C8" i="8"/>
  <c r="H12" i="11" s="1"/>
  <c r="AG12" i="11" s="1"/>
  <c r="D16" i="13" s="1"/>
  <c r="H7" i="8"/>
  <c r="M6" i="8"/>
  <c r="R5" i="8"/>
  <c r="F6" i="12" s="1"/>
  <c r="F5" i="8"/>
  <c r="W8" i="11" s="1"/>
  <c r="K4" i="8"/>
  <c r="P3" i="8"/>
  <c r="D3" i="8"/>
  <c r="M6" i="11" s="1"/>
  <c r="G15" i="8"/>
  <c r="AB20" i="11" s="1"/>
  <c r="H10" i="8"/>
  <c r="D6" i="8"/>
  <c r="M10" i="11" s="1"/>
  <c r="B9" i="8"/>
  <c r="C13" i="11" s="1"/>
  <c r="R17" i="8"/>
  <c r="F15" i="12" s="1"/>
  <c r="P15" i="8"/>
  <c r="L20" i="11" s="1"/>
  <c r="B8" i="8"/>
  <c r="C12" i="11" s="1"/>
  <c r="L18" i="8"/>
  <c r="Q17" i="8"/>
  <c r="E15" i="12" s="1"/>
  <c r="E17" i="8"/>
  <c r="J16" i="8"/>
  <c r="O15" i="8"/>
  <c r="G20" i="11" s="1"/>
  <c r="C15" i="8"/>
  <c r="H20" i="11" s="1"/>
  <c r="H14" i="8"/>
  <c r="M13" i="8"/>
  <c r="R12" i="8"/>
  <c r="V17" i="11" s="1"/>
  <c r="Y17" i="11" s="1"/>
  <c r="Z17" i="11" s="1"/>
  <c r="F12" i="8"/>
  <c r="W17" i="11" s="1"/>
  <c r="AG17" i="11" s="1"/>
  <c r="D18" i="13" s="1"/>
  <c r="K11" i="8"/>
  <c r="P10" i="8"/>
  <c r="D12" i="12" s="1"/>
  <c r="D10" i="8"/>
  <c r="M14" i="11" s="1"/>
  <c r="I9" i="8"/>
  <c r="N8" i="8"/>
  <c r="B12" i="11" s="1"/>
  <c r="F12" i="11" s="1"/>
  <c r="S7" i="8"/>
  <c r="AA11" i="11" s="1"/>
  <c r="G7" i="8"/>
  <c r="AB11" i="11" s="1"/>
  <c r="L6" i="8"/>
  <c r="Q5" i="8"/>
  <c r="E6" i="12" s="1"/>
  <c r="E5" i="8"/>
  <c r="R8" i="11" s="1"/>
  <c r="J4" i="8"/>
  <c r="O3" i="8"/>
  <c r="G6" i="11" s="1"/>
  <c r="G15" i="11" s="1"/>
  <c r="C3" i="8"/>
  <c r="H6" i="11" s="1"/>
  <c r="H24" i="11" s="1"/>
  <c r="L14" i="8"/>
  <c r="B3" i="8"/>
  <c r="B7" i="8"/>
  <c r="C11" i="11" s="1"/>
  <c r="K18" i="8"/>
  <c r="P17" i="8"/>
  <c r="D15" i="12" s="1"/>
  <c r="D17" i="8"/>
  <c r="M22" i="11" s="1"/>
  <c r="I16" i="8"/>
  <c r="N15" i="8"/>
  <c r="B20" i="11" s="1"/>
  <c r="S14" i="8"/>
  <c r="AA19" i="11" s="1"/>
  <c r="G14" i="8"/>
  <c r="AB19" i="11" s="1"/>
  <c r="L13" i="8"/>
  <c r="Q12" i="8"/>
  <c r="Q17" i="11" s="1"/>
  <c r="T17" i="11" s="1"/>
  <c r="U17" i="11" s="1"/>
  <c r="E12" i="8"/>
  <c r="R17" i="11" s="1"/>
  <c r="J11" i="8"/>
  <c r="O10" i="8"/>
  <c r="C12" i="12" s="1"/>
  <c r="C10" i="8"/>
  <c r="H14" i="11" s="1"/>
  <c r="H9" i="8"/>
  <c r="M8" i="8"/>
  <c r="R7" i="8"/>
  <c r="V11" i="11" s="1"/>
  <c r="F7" i="8"/>
  <c r="W11" i="11" s="1"/>
  <c r="K6" i="8"/>
  <c r="P5" i="8"/>
  <c r="D6" i="12" s="1"/>
  <c r="D5" i="8"/>
  <c r="M8" i="11" s="1"/>
  <c r="M9" i="11" s="1"/>
  <c r="I4" i="8"/>
  <c r="N3" i="8"/>
  <c r="B12" i="8"/>
  <c r="C17" i="11" s="1"/>
  <c r="Q13" i="8"/>
  <c r="Q18" i="11" s="1"/>
  <c r="F8" i="8"/>
  <c r="W12" i="11" s="1"/>
  <c r="B18" i="8"/>
  <c r="B6" i="8"/>
  <c r="C10" i="11" s="1"/>
  <c r="J18" i="8"/>
  <c r="O17" i="8"/>
  <c r="C15" i="12" s="1"/>
  <c r="C17" i="8"/>
  <c r="H22" i="11" s="1"/>
  <c r="H16" i="8"/>
  <c r="M15" i="8"/>
  <c r="R14" i="8"/>
  <c r="V19" i="11" s="1"/>
  <c r="F14" i="8"/>
  <c r="W19" i="11" s="1"/>
  <c r="K13" i="8"/>
  <c r="P12" i="8"/>
  <c r="D12" i="8"/>
  <c r="M17" i="11" s="1"/>
  <c r="I11" i="8"/>
  <c r="N10" i="8"/>
  <c r="B12" i="12" s="1"/>
  <c r="S9" i="8"/>
  <c r="G10" i="12" s="1"/>
  <c r="G11" i="12" s="1"/>
  <c r="G9" i="8"/>
  <c r="AB13" i="11" s="1"/>
  <c r="L8" i="8"/>
  <c r="Q7" i="8"/>
  <c r="Q11" i="11" s="1"/>
  <c r="T11" i="11" s="1"/>
  <c r="U11" i="11" s="1"/>
  <c r="E7" i="8"/>
  <c r="R11" i="11" s="1"/>
  <c r="AG11" i="11" s="1"/>
  <c r="D15" i="13" s="1"/>
  <c r="J6" i="8"/>
  <c r="O5" i="8"/>
  <c r="C6" i="12" s="1"/>
  <c r="C5" i="8"/>
  <c r="H8" i="11" s="1"/>
  <c r="H4" i="8"/>
  <c r="M3" i="8"/>
  <c r="M10" i="8"/>
  <c r="R9" i="8"/>
  <c r="F10" i="12" s="1"/>
  <c r="F9" i="8"/>
  <c r="W13" i="11" s="1"/>
  <c r="K8" i="8"/>
  <c r="P7" i="8"/>
  <c r="L11" i="11" s="1"/>
  <c r="D7" i="8"/>
  <c r="M11" i="11" s="1"/>
  <c r="I6" i="8"/>
  <c r="N5" i="8"/>
  <c r="B8" i="11" s="1"/>
  <c r="S4" i="8"/>
  <c r="AA7" i="11" s="1"/>
  <c r="G4" i="8"/>
  <c r="AB7" i="11" s="1"/>
  <c r="L3" i="8"/>
  <c r="I17" i="8"/>
  <c r="C11" i="8"/>
  <c r="H16" i="11" s="1"/>
  <c r="N4" i="8"/>
  <c r="B5" i="8"/>
  <c r="G16" i="8"/>
  <c r="AB21" i="11" s="1"/>
  <c r="E14" i="8"/>
  <c r="R19" i="11" s="1"/>
  <c r="H11" i="8"/>
  <c r="B16" i="8"/>
  <c r="C21" i="11" s="1"/>
  <c r="B4" i="8"/>
  <c r="C7" i="11" s="1"/>
  <c r="H18" i="8"/>
  <c r="M17" i="8"/>
  <c r="R16" i="8"/>
  <c r="V21" i="11" s="1"/>
  <c r="F16" i="8"/>
  <c r="W21" i="11" s="1"/>
  <c r="K15" i="8"/>
  <c r="P14" i="8"/>
  <c r="L19" i="11" s="1"/>
  <c r="D14" i="8"/>
  <c r="M19" i="11" s="1"/>
  <c r="I13" i="8"/>
  <c r="N12" i="8"/>
  <c r="B17" i="11" s="1"/>
  <c r="F17" i="11" s="1"/>
  <c r="S11" i="8"/>
  <c r="AA16" i="11" s="1"/>
  <c r="G11" i="8"/>
  <c r="AB16" i="11" s="1"/>
  <c r="AG16" i="11" s="1"/>
  <c r="D17" i="13" s="1"/>
  <c r="L10" i="8"/>
  <c r="Q9" i="8"/>
  <c r="E10" i="12" s="1"/>
  <c r="E9" i="8"/>
  <c r="R13" i="11" s="1"/>
  <c r="J8" i="8"/>
  <c r="O7" i="8"/>
  <c r="G11" i="11" s="1"/>
  <c r="C7" i="8"/>
  <c r="H11" i="11" s="1"/>
  <c r="H6" i="8"/>
  <c r="M5" i="8"/>
  <c r="R4" i="8"/>
  <c r="V7" i="11" s="1"/>
  <c r="F4" i="8"/>
  <c r="W7" i="11" s="1"/>
  <c r="K3" i="8"/>
  <c r="N16" i="8"/>
  <c r="B21" i="11" s="1"/>
  <c r="F21" i="11" s="1"/>
  <c r="S16" i="8"/>
  <c r="AA21" i="11" s="1"/>
  <c r="AD21" i="11" s="1"/>
  <c r="AE21" i="11" s="1"/>
  <c r="J13" i="8"/>
  <c r="B15" i="8"/>
  <c r="C20" i="11" s="1"/>
  <c r="S18" i="8"/>
  <c r="AA23" i="11" s="1"/>
  <c r="L17" i="8"/>
  <c r="E16" i="8"/>
  <c r="R21" i="11" s="1"/>
  <c r="O14" i="8"/>
  <c r="G19" i="11" s="1"/>
  <c r="H13" i="8"/>
  <c r="M12" i="8"/>
  <c r="F11" i="8"/>
  <c r="W16" i="11" s="1"/>
  <c r="K10" i="8"/>
  <c r="P9" i="8"/>
  <c r="D10" i="12" s="1"/>
  <c r="D9" i="8"/>
  <c r="M13" i="11" s="1"/>
  <c r="I8" i="8"/>
  <c r="N7" i="8"/>
  <c r="B11" i="11" s="1"/>
  <c r="S6" i="8"/>
  <c r="AA10" i="11" s="1"/>
  <c r="G6" i="8"/>
  <c r="AB10" i="11" s="1"/>
  <c r="L5" i="8"/>
  <c r="Q4" i="8"/>
  <c r="Q7" i="11" s="1"/>
  <c r="E4" i="8"/>
  <c r="R7" i="11" s="1"/>
  <c r="J3" i="8"/>
  <c r="E13" i="8"/>
  <c r="R18" i="11" s="1"/>
  <c r="AG18" i="11" s="1"/>
  <c r="D19" i="13" s="1"/>
  <c r="M9" i="8"/>
  <c r="I18" i="8"/>
  <c r="L15" i="8"/>
  <c r="C12" i="8"/>
  <c r="H17" i="11" s="1"/>
  <c r="G18" i="8"/>
  <c r="AB23" i="11" s="1"/>
  <c r="Q16" i="8"/>
  <c r="Q21" i="11" s="1"/>
  <c r="J15" i="8"/>
  <c r="C14" i="8"/>
  <c r="H19" i="11" s="1"/>
  <c r="R11" i="8"/>
  <c r="V16" i="11" s="1"/>
  <c r="Y16" i="11" s="1"/>
  <c r="Z16" i="11" s="1"/>
  <c r="B14" i="8"/>
  <c r="C19" i="11" s="1"/>
  <c r="R18" i="8"/>
  <c r="V23" i="11" s="1"/>
  <c r="F18" i="8"/>
  <c r="W23" i="11" s="1"/>
  <c r="W24" i="11" s="1"/>
  <c r="K17" i="8"/>
  <c r="P16" i="8"/>
  <c r="L21" i="11" s="1"/>
  <c r="O21" i="11" s="1"/>
  <c r="P21" i="11" s="1"/>
  <c r="D16" i="8"/>
  <c r="M21" i="11" s="1"/>
  <c r="I15" i="8"/>
  <c r="N14" i="8"/>
  <c r="B19" i="11" s="1"/>
  <c r="S13" i="8"/>
  <c r="AA18" i="11" s="1"/>
  <c r="G13" i="8"/>
  <c r="AB18" i="11" s="1"/>
  <c r="L12" i="8"/>
  <c r="Q11" i="8"/>
  <c r="Q16" i="11" s="1"/>
  <c r="E11" i="8"/>
  <c r="R16" i="11" s="1"/>
  <c r="J10" i="8"/>
  <c r="O9" i="8"/>
  <c r="C10" i="12" s="1"/>
  <c r="C9" i="8"/>
  <c r="H13" i="11" s="1"/>
  <c r="H8" i="8"/>
  <c r="M7" i="8"/>
  <c r="R6" i="8"/>
  <c r="V10" i="11" s="1"/>
  <c r="Y10" i="11" s="1"/>
  <c r="Z10" i="11" s="1"/>
  <c r="F6" i="8"/>
  <c r="W10" i="11" s="1"/>
  <c r="K5" i="8"/>
  <c r="P4" i="8"/>
  <c r="L7" i="11" s="1"/>
  <c r="D4" i="8"/>
  <c r="M7" i="11" s="1"/>
  <c r="M16" i="12"/>
  <c r="O4" i="13" a="1"/>
  <c r="O4" i="13" s="1"/>
  <c r="M11" i="12"/>
  <c r="M21" i="12"/>
  <c r="M13" i="12"/>
  <c r="G7" i="12"/>
  <c r="O12" i="12"/>
  <c r="O20" i="12"/>
  <c r="L11" i="12"/>
  <c r="O6" i="12"/>
  <c r="O15" i="12"/>
  <c r="L21" i="12"/>
  <c r="AB9" i="11"/>
  <c r="O10" i="12"/>
  <c r="L13" i="12"/>
  <c r="M7" i="12"/>
  <c r="L16" i="12"/>
  <c r="L7" i="12"/>
  <c r="K7" i="12"/>
  <c r="D22" i="11"/>
  <c r="C16" i="11"/>
  <c r="G8" i="11"/>
  <c r="G22" i="11"/>
  <c r="L22" i="11"/>
  <c r="Q8" i="11"/>
  <c r="Q13" i="11"/>
  <c r="Q22" i="11"/>
  <c r="V8" i="11"/>
  <c r="V13" i="11"/>
  <c r="AA8" i="11"/>
  <c r="AD8" i="11" s="1"/>
  <c r="AE8" i="11" s="1"/>
  <c r="AA22" i="11"/>
  <c r="AD22" i="11" s="1"/>
  <c r="AE22" i="11" s="1"/>
  <c r="I5" i="12"/>
  <c r="I21" i="12" s="1"/>
  <c r="G20" i="12"/>
  <c r="G21" i="12" s="1"/>
  <c r="G12" i="12"/>
  <c r="G13" i="12" s="1"/>
  <c r="D14" i="11"/>
  <c r="D15" i="11" s="1"/>
  <c r="R22" i="11"/>
  <c r="I13" i="11"/>
  <c r="N8" i="11"/>
  <c r="N13" i="11"/>
  <c r="N22" i="11"/>
  <c r="S8" i="11"/>
  <c r="S13" i="11"/>
  <c r="S22" i="11"/>
  <c r="T22" i="11" s="1"/>
  <c r="U22" i="11" s="1"/>
  <c r="X8" i="11"/>
  <c r="X13" i="11"/>
  <c r="X22" i="11"/>
  <c r="E20" i="12"/>
  <c r="G8" i="12"/>
  <c r="M17" i="12"/>
  <c r="B16" i="11"/>
  <c r="G14" i="11"/>
  <c r="G23" i="11"/>
  <c r="J23" i="11" s="1"/>
  <c r="K23" i="11" s="1"/>
  <c r="L14" i="11"/>
  <c r="L23" i="11"/>
  <c r="L17" i="12"/>
  <c r="B14" i="11"/>
  <c r="M18" i="12"/>
  <c r="C6" i="11"/>
  <c r="I14" i="11"/>
  <c r="N14" i="11"/>
  <c r="S14" i="11"/>
  <c r="S23" i="11"/>
  <c r="T23" i="11" s="1"/>
  <c r="U23" i="11" s="1"/>
  <c r="X14" i="11"/>
  <c r="X23" i="11"/>
  <c r="B20" i="12"/>
  <c r="B15" i="12"/>
  <c r="L18" i="12"/>
  <c r="B7" i="11"/>
  <c r="E7" i="11" s="1"/>
  <c r="N5" i="12"/>
  <c r="N8" i="12" s="1"/>
  <c r="G18" i="12"/>
  <c r="J18" i="12"/>
  <c r="I6" i="11"/>
  <c r="I9" i="11" s="1"/>
  <c r="N6" i="11"/>
  <c r="N24" i="11" s="1"/>
  <c r="S6" i="11"/>
  <c r="X6" i="11"/>
  <c r="G17" i="11"/>
  <c r="L17" i="11"/>
  <c r="O17" i="11" s="1"/>
  <c r="P17" i="11" s="1"/>
  <c r="K18" i="12"/>
  <c r="D16" i="11"/>
  <c r="D8" i="11"/>
  <c r="D9" i="11" s="1"/>
  <c r="E22" i="11"/>
  <c r="M15" i="11"/>
  <c r="AH10" i="11"/>
  <c r="C14" i="13" s="1"/>
  <c r="J19" i="11"/>
  <c r="K19" i="11" s="1"/>
  <c r="J7" i="11"/>
  <c r="K7" i="11" s="1"/>
  <c r="J21" i="11"/>
  <c r="K21" i="11" s="1"/>
  <c r="F11" i="11"/>
  <c r="AH17" i="11"/>
  <c r="C18" i="13" s="1"/>
  <c r="F19" i="11"/>
  <c r="O19" i="11"/>
  <c r="P19" i="11" s="1"/>
  <c r="Y7" i="11"/>
  <c r="Z7" i="11" s="1"/>
  <c r="AH20" i="11"/>
  <c r="C21" i="13" s="1"/>
  <c r="AC24" i="11"/>
  <c r="T16" i="11"/>
  <c r="U16" i="11" s="1"/>
  <c r="AD20" i="11"/>
  <c r="AE20" i="11" s="1"/>
  <c r="AH19" i="11"/>
  <c r="C20" i="13" s="1"/>
  <c r="AH12" i="11"/>
  <c r="C16" i="13" s="1"/>
  <c r="W9" i="11"/>
  <c r="AH18" i="11"/>
  <c r="C19" i="13" s="1"/>
  <c r="J11" i="11"/>
  <c r="K11" i="11" s="1"/>
  <c r="J16" i="11"/>
  <c r="K16" i="11" s="1"/>
  <c r="AD19" i="11"/>
  <c r="AE19" i="11" s="1"/>
  <c r="M24" i="11"/>
  <c r="R15" i="11"/>
  <c r="R24" i="11"/>
  <c r="W15" i="11"/>
  <c r="AB24" i="11"/>
  <c r="F10" i="11"/>
  <c r="AH11" i="11"/>
  <c r="C15" i="13" s="1"/>
  <c r="J8" i="11"/>
  <c r="K8" i="11" s="1"/>
  <c r="T21" i="11"/>
  <c r="U21" i="11" s="1"/>
  <c r="Y21" i="11"/>
  <c r="Z21" i="11" s="1"/>
  <c r="AD7" i="11"/>
  <c r="AE7" i="11" s="1"/>
  <c r="AH7" i="11"/>
  <c r="C13" i="13" s="1"/>
  <c r="J18" i="11"/>
  <c r="K18" i="11" s="1"/>
  <c r="AH21" i="11"/>
  <c r="C22" i="13" s="1"/>
  <c r="AD17" i="11"/>
  <c r="AE17" i="11" s="1"/>
  <c r="O7" i="11"/>
  <c r="P7" i="11" s="1"/>
  <c r="T19" i="11"/>
  <c r="U19" i="11" s="1"/>
  <c r="F22" i="11"/>
  <c r="D24" i="11"/>
  <c r="E10" i="11"/>
  <c r="AD18" i="11"/>
  <c r="AE18" i="11" s="1"/>
  <c r="F20" i="11"/>
  <c r="T7" i="11"/>
  <c r="U7" i="11" s="1"/>
  <c r="Y11" i="11"/>
  <c r="Z11" i="11" s="1"/>
  <c r="AC9" i="11"/>
  <c r="F18" i="11"/>
  <c r="E19" i="11"/>
  <c r="J20" i="11"/>
  <c r="K20" i="11" s="1"/>
  <c r="O10" i="11"/>
  <c r="P10" i="11" s="1"/>
  <c r="R9" i="11"/>
  <c r="AD10" i="11"/>
  <c r="AE10" i="11" s="1"/>
  <c r="Y12" i="11"/>
  <c r="Z12" i="11" s="1"/>
  <c r="Y20" i="11"/>
  <c r="Z20" i="11" s="1"/>
  <c r="T18" i="11"/>
  <c r="U18" i="11" s="1"/>
  <c r="AC15" i="11"/>
  <c r="AD23" i="11"/>
  <c r="AE23" i="11" s="1"/>
  <c r="O11" i="11"/>
  <c r="P11" i="11" s="1"/>
  <c r="AD11" i="11"/>
  <c r="AE11" i="11" s="1"/>
  <c r="AD16" i="11"/>
  <c r="AE16" i="11" s="1"/>
  <c r="AD14" i="11"/>
  <c r="AE14" i="11" s="1"/>
  <c r="AB15" i="11"/>
  <c r="E20" i="11"/>
  <c r="E18" i="11"/>
  <c r="E12" i="11"/>
  <c r="E23" i="11"/>
  <c r="F23" i="11" s="1"/>
  <c r="E11" i="11"/>
  <c r="J19" i="9"/>
  <c r="E11" i="9"/>
  <c r="E19" i="9" s="1"/>
  <c r="H19" i="9"/>
  <c r="F11" i="9"/>
  <c r="M11" i="9"/>
  <c r="F19" i="9"/>
  <c r="C11" i="9"/>
  <c r="I19" i="9"/>
  <c r="M19" i="9"/>
  <c r="G11" i="9"/>
  <c r="G19" i="9" s="1"/>
  <c r="C19" i="9"/>
  <c r="AF10" i="11" l="1"/>
  <c r="AF11" i="11"/>
  <c r="B15" i="13" s="1"/>
  <c r="O22" i="11"/>
  <c r="P22" i="11" s="1"/>
  <c r="AG10" i="11"/>
  <c r="D14" i="13" s="1"/>
  <c r="J14" i="11"/>
  <c r="K14" i="11" s="1"/>
  <c r="AH22" i="11"/>
  <c r="D8" i="14" s="1"/>
  <c r="Y13" i="11"/>
  <c r="Z13" i="11" s="1"/>
  <c r="Y8" i="11"/>
  <c r="Z8" i="11" s="1"/>
  <c r="AF23" i="11"/>
  <c r="B9" i="14" s="1"/>
  <c r="G13" i="11"/>
  <c r="J13" i="11" s="1"/>
  <c r="K13" i="11" s="1"/>
  <c r="AG19" i="11"/>
  <c r="D20" i="13" s="1"/>
  <c r="G17" i="12"/>
  <c r="L8" i="11"/>
  <c r="O8" i="11" s="1"/>
  <c r="P8" i="11" s="1"/>
  <c r="E17" i="11"/>
  <c r="AF12" i="11"/>
  <c r="B16" i="13" s="1"/>
  <c r="J10" i="11"/>
  <c r="K10" i="11" s="1"/>
  <c r="P20" i="12"/>
  <c r="F16" i="11"/>
  <c r="F8" i="11"/>
  <c r="AF19" i="11"/>
  <c r="AI19" i="11" s="1"/>
  <c r="AF20" i="11"/>
  <c r="AG22" i="11"/>
  <c r="C8" i="14" s="1"/>
  <c r="AG21" i="11"/>
  <c r="D22" i="13" s="1"/>
  <c r="E16" i="11"/>
  <c r="F14" i="11"/>
  <c r="G9" i="11"/>
  <c r="T13" i="11"/>
  <c r="U13" i="11" s="1"/>
  <c r="G24" i="11"/>
  <c r="O14" i="11"/>
  <c r="P14" i="11" s="1"/>
  <c r="L13" i="11"/>
  <c r="AF21" i="11"/>
  <c r="B22" i="13" s="1"/>
  <c r="B6" i="12"/>
  <c r="X9" i="11"/>
  <c r="AG6" i="11"/>
  <c r="C4" i="14" s="1"/>
  <c r="AG7" i="11"/>
  <c r="D13" i="13" s="1"/>
  <c r="P6" i="12"/>
  <c r="AG13" i="11"/>
  <c r="AG20" i="11"/>
  <c r="D21" i="13" s="1"/>
  <c r="T14" i="11"/>
  <c r="U14" i="11" s="1"/>
  <c r="AA24" i="11"/>
  <c r="AD24" i="11" s="1"/>
  <c r="AE24" i="11" s="1"/>
  <c r="P12" i="12"/>
  <c r="Y19" i="11"/>
  <c r="Z19" i="11" s="1"/>
  <c r="AF17" i="11"/>
  <c r="B18" i="13" s="1"/>
  <c r="AF18" i="11"/>
  <c r="B19" i="13" s="1"/>
  <c r="C5" i="12"/>
  <c r="C8" i="12" s="1"/>
  <c r="E14" i="11"/>
  <c r="F7" i="11"/>
  <c r="X24" i="11"/>
  <c r="V22" i="11"/>
  <c r="Y22" i="11" s="1"/>
  <c r="Z22" i="11" s="1"/>
  <c r="T8" i="11"/>
  <c r="U8" i="11" s="1"/>
  <c r="H9" i="11"/>
  <c r="AF8" i="11"/>
  <c r="B5" i="14" s="1"/>
  <c r="AF7" i="11"/>
  <c r="B13" i="13" s="1"/>
  <c r="O13" i="11"/>
  <c r="P13" i="11" s="1"/>
  <c r="H15" i="11"/>
  <c r="E21" i="11"/>
  <c r="O23" i="11"/>
  <c r="P23" i="11" s="1"/>
  <c r="O20" i="11"/>
  <c r="P20" i="11" s="1"/>
  <c r="E8" i="11"/>
  <c r="N15" i="11"/>
  <c r="F20" i="12"/>
  <c r="N4" i="13" s="1" a="1"/>
  <c r="N4" i="13" s="1"/>
  <c r="P10" i="12"/>
  <c r="AF14" i="11"/>
  <c r="AA13" i="11"/>
  <c r="AD13" i="11" s="1"/>
  <c r="AE13" i="11" s="1"/>
  <c r="B10" i="12"/>
  <c r="B13" i="11"/>
  <c r="AA15" i="11"/>
  <c r="AD15" i="11" s="1"/>
  <c r="AE15" i="11" s="1"/>
  <c r="AA9" i="11"/>
  <c r="AD9" i="11" s="1"/>
  <c r="AE9" i="11" s="1"/>
  <c r="Y23" i="11"/>
  <c r="Z23" i="11" s="1"/>
  <c r="E12" i="12"/>
  <c r="C14" i="11"/>
  <c r="C23" i="11"/>
  <c r="P4" i="13" a="1"/>
  <c r="P4" i="13" s="1"/>
  <c r="D5" i="12"/>
  <c r="D8" i="12" s="1"/>
  <c r="L6" i="11"/>
  <c r="E5" i="12"/>
  <c r="E21" i="12" s="1"/>
  <c r="Q6" i="11"/>
  <c r="T6" i="11" s="1"/>
  <c r="U6" i="11" s="1"/>
  <c r="C8" i="11"/>
  <c r="P15" i="12"/>
  <c r="AD6" i="11"/>
  <c r="AE6" i="11" s="1"/>
  <c r="AH6" i="11"/>
  <c r="D4" i="14" s="1"/>
  <c r="L16" i="11"/>
  <c r="F12" i="12"/>
  <c r="P5" i="12"/>
  <c r="P18" i="12" s="1"/>
  <c r="D5" i="13" a="1"/>
  <c r="D5" i="13" s="1"/>
  <c r="D6" i="13" a="1"/>
  <c r="D6" i="13" s="1"/>
  <c r="D7" i="13" a="1"/>
  <c r="D7" i="13" s="1"/>
  <c r="D8" i="13" a="1"/>
  <c r="D8" i="13" s="1"/>
  <c r="D9" i="13" a="1"/>
  <c r="D9" i="13" s="1"/>
  <c r="D4" i="13" a="1"/>
  <c r="D4" i="13" s="1"/>
  <c r="F5" i="12"/>
  <c r="V6" i="11"/>
  <c r="B6" i="11"/>
  <c r="B5" i="12"/>
  <c r="B16" i="12" s="1"/>
  <c r="B5" i="13" a="1"/>
  <c r="B5" i="13" s="1"/>
  <c r="B6" i="13" a="1"/>
  <c r="B6" i="13" s="1"/>
  <c r="B7" i="13" a="1"/>
  <c r="B7" i="13" s="1"/>
  <c r="B9" i="13" a="1"/>
  <c r="B9" i="13" s="1"/>
  <c r="B8" i="13" a="1"/>
  <c r="B8" i="13" s="1"/>
  <c r="B4" i="13" a="1"/>
  <c r="B4" i="13" s="1"/>
  <c r="J17" i="11"/>
  <c r="K17" i="11" s="1"/>
  <c r="B21" i="13"/>
  <c r="S24" i="11"/>
  <c r="AH16" i="11"/>
  <c r="C17" i="13" s="1"/>
  <c r="N9" i="11"/>
  <c r="AH8" i="11"/>
  <c r="N13" i="12"/>
  <c r="I7" i="12"/>
  <c r="J22" i="11"/>
  <c r="K22" i="11" s="1"/>
  <c r="S9" i="11"/>
  <c r="S15" i="11"/>
  <c r="X15" i="11"/>
  <c r="J6" i="11"/>
  <c r="K6" i="11" s="1"/>
  <c r="AH23" i="11"/>
  <c r="I18" i="12"/>
  <c r="AJ10" i="11"/>
  <c r="B14" i="13"/>
  <c r="I24" i="11"/>
  <c r="J24" i="11" s="1"/>
  <c r="K24" i="11" s="1"/>
  <c r="I15" i="11"/>
  <c r="J15" i="11" s="1"/>
  <c r="K15" i="11" s="1"/>
  <c r="N17" i="12"/>
  <c r="N7" i="12"/>
  <c r="I11" i="12"/>
  <c r="AH13" i="11"/>
  <c r="C11" i="12"/>
  <c r="C7" i="12"/>
  <c r="N16" i="12"/>
  <c r="H6" i="12"/>
  <c r="N11" i="12"/>
  <c r="Y14" i="11"/>
  <c r="Z14" i="11" s="1"/>
  <c r="H15" i="12"/>
  <c r="I8" i="12"/>
  <c r="O5" i="12"/>
  <c r="O16" i="12" s="1"/>
  <c r="N21" i="12"/>
  <c r="K4" i="13" s="1" a="1"/>
  <c r="K4" i="13" s="1"/>
  <c r="C13" i="12"/>
  <c r="AH14" i="11"/>
  <c r="I17" i="12"/>
  <c r="I16" i="12"/>
  <c r="N18" i="12"/>
  <c r="I13" i="12"/>
  <c r="AJ20" i="11"/>
  <c r="J9" i="11"/>
  <c r="K9" i="11" s="1"/>
  <c r="AI20" i="11"/>
  <c r="AI10" i="11"/>
  <c r="AJ19" i="11"/>
  <c r="AI11" i="11"/>
  <c r="AJ11" i="11"/>
  <c r="AI12" i="11"/>
  <c r="AJ12" i="11"/>
  <c r="F13" i="2"/>
  <c r="B21" i="12" l="1"/>
  <c r="C18" i="12"/>
  <c r="C17" i="12"/>
  <c r="B20" i="13"/>
  <c r="C16" i="12"/>
  <c r="C21" i="12"/>
  <c r="E18" i="12"/>
  <c r="H20" i="12"/>
  <c r="AF22" i="11"/>
  <c r="AI22" i="11" s="1"/>
  <c r="E8" i="14" s="1"/>
  <c r="AI17" i="11"/>
  <c r="AJ7" i="11"/>
  <c r="B7" i="14"/>
  <c r="AH15" i="11"/>
  <c r="D7" i="14"/>
  <c r="AH9" i="11"/>
  <c r="D6" i="14" s="1"/>
  <c r="D5" i="14"/>
  <c r="AI7" i="11"/>
  <c r="H12" i="12"/>
  <c r="AJ18" i="11"/>
  <c r="AJ23" i="11"/>
  <c r="F9" i="14" s="1"/>
  <c r="D9" i="14"/>
  <c r="AI21" i="11"/>
  <c r="E13" i="12"/>
  <c r="AI18" i="11"/>
  <c r="E11" i="12"/>
  <c r="E16" i="12"/>
  <c r="AJ17" i="11"/>
  <c r="P21" i="12"/>
  <c r="F21" i="12"/>
  <c r="D17" i="12"/>
  <c r="D13" i="12"/>
  <c r="AJ21" i="11"/>
  <c r="D11" i="12"/>
  <c r="H5" i="12"/>
  <c r="H21" i="12" s="1"/>
  <c r="P7" i="12"/>
  <c r="AJ8" i="11"/>
  <c r="F5" i="14" s="1"/>
  <c r="B18" i="12"/>
  <c r="B13" i="12"/>
  <c r="B8" i="12"/>
  <c r="B17" i="12"/>
  <c r="Q15" i="11"/>
  <c r="T15" i="11" s="1"/>
  <c r="U15" i="11" s="1"/>
  <c r="AF6" i="11"/>
  <c r="B4" i="14" s="1"/>
  <c r="B9" i="11"/>
  <c r="E9" i="11" s="1"/>
  <c r="F9" i="11" s="1"/>
  <c r="B15" i="11"/>
  <c r="E15" i="11" s="1"/>
  <c r="F15" i="11" s="1"/>
  <c r="E6" i="11"/>
  <c r="B24" i="11"/>
  <c r="E24" i="11" s="1"/>
  <c r="F24" i="11" s="1"/>
  <c r="F6" i="11"/>
  <c r="F13" i="12"/>
  <c r="P8" i="12"/>
  <c r="AH24" i="11"/>
  <c r="D10" i="14" s="1"/>
  <c r="AF16" i="11"/>
  <c r="O16" i="11"/>
  <c r="P16" i="11" s="1"/>
  <c r="F17" i="12"/>
  <c r="F8" i="12"/>
  <c r="F16" i="12"/>
  <c r="F18" i="12"/>
  <c r="F11" i="12"/>
  <c r="F7" i="12"/>
  <c r="D18" i="12"/>
  <c r="E17" i="12"/>
  <c r="E7" i="12"/>
  <c r="E8" i="12"/>
  <c r="E13" i="11"/>
  <c r="F13" i="11"/>
  <c r="AF13" i="11"/>
  <c r="AI13" i="11" s="1"/>
  <c r="L15" i="11"/>
  <c r="O15" i="11" s="1"/>
  <c r="P15" i="11" s="1"/>
  <c r="L9" i="11"/>
  <c r="O9" i="11" s="1"/>
  <c r="P9" i="11" s="1"/>
  <c r="L24" i="11"/>
  <c r="O24" i="11" s="1"/>
  <c r="P24" i="11" s="1"/>
  <c r="O6" i="11"/>
  <c r="P6" i="11" s="1"/>
  <c r="B11" i="12"/>
  <c r="H10" i="12"/>
  <c r="Q9" i="11"/>
  <c r="T9" i="11" s="1"/>
  <c r="U9" i="11" s="1"/>
  <c r="Q24" i="11"/>
  <c r="T24" i="11" s="1"/>
  <c r="U24" i="11" s="1"/>
  <c r="P17" i="12"/>
  <c r="D16" i="12"/>
  <c r="V9" i="11"/>
  <c r="Y9" i="11" s="1"/>
  <c r="Z9" i="11" s="1"/>
  <c r="V24" i="11"/>
  <c r="Y24" i="11" s="1"/>
  <c r="Z24" i="11" s="1"/>
  <c r="Y6" i="11"/>
  <c r="Z6" i="11" s="1"/>
  <c r="D21" i="12"/>
  <c r="P13" i="12"/>
  <c r="P16" i="12"/>
  <c r="C24" i="11"/>
  <c r="AG23" i="11"/>
  <c r="C9" i="14" s="1"/>
  <c r="P11" i="12"/>
  <c r="B7" i="12"/>
  <c r="H4" i="13" a="1"/>
  <c r="H4" i="13" s="1"/>
  <c r="D7" i="12"/>
  <c r="AG8" i="11"/>
  <c r="C5" i="14" s="1"/>
  <c r="C9" i="11"/>
  <c r="AG14" i="11"/>
  <c r="C15" i="11"/>
  <c r="V15" i="11"/>
  <c r="Y15" i="11" s="1"/>
  <c r="Z15" i="11" s="1"/>
  <c r="O7" i="12"/>
  <c r="O13" i="12"/>
  <c r="O11" i="12"/>
  <c r="O21" i="12"/>
  <c r="AJ14" i="11"/>
  <c r="F7" i="14" s="1"/>
  <c r="O8" i="12"/>
  <c r="O18" i="12"/>
  <c r="O17" i="12"/>
  <c r="L13" i="2"/>
  <c r="E13" i="2"/>
  <c r="M13" i="2"/>
  <c r="N13" i="2"/>
  <c r="G13" i="2"/>
  <c r="O13" i="2"/>
  <c r="H13" i="2"/>
  <c r="I13" i="2"/>
  <c r="J13" i="2"/>
  <c r="K13" i="2"/>
  <c r="L8" i="2"/>
  <c r="K8" i="2"/>
  <c r="J8" i="2"/>
  <c r="I8" i="2"/>
  <c r="H8" i="2"/>
  <c r="O8" i="2"/>
  <c r="G8" i="2"/>
  <c r="N8" i="2"/>
  <c r="F8" i="2"/>
  <c r="M8" i="2"/>
  <c r="E8" i="2"/>
  <c r="D8" i="2"/>
  <c r="AJ22" i="11" l="1"/>
  <c r="F8" i="14" s="1"/>
  <c r="H11" i="12"/>
  <c r="H16" i="12"/>
  <c r="H8" i="12"/>
  <c r="H7" i="12"/>
  <c r="B8" i="14"/>
  <c r="I4" i="13" a="1"/>
  <c r="I4" i="13" s="1"/>
  <c r="AG15" i="11"/>
  <c r="C7" i="14"/>
  <c r="J4" i="13" a="1"/>
  <c r="J4" i="13" s="1"/>
  <c r="AF15" i="11"/>
  <c r="AI15" i="11" s="1"/>
  <c r="AJ15" i="11" s="1"/>
  <c r="H17" i="12"/>
  <c r="H18" i="12"/>
  <c r="G4" i="13" a="1"/>
  <c r="G4" i="13" s="1"/>
  <c r="H13" i="12"/>
  <c r="AJ6" i="11"/>
  <c r="F4" i="14" s="1"/>
  <c r="AF24" i="11"/>
  <c r="AI6" i="11"/>
  <c r="E4" i="14" s="1"/>
  <c r="AF9" i="11"/>
  <c r="B17" i="13"/>
  <c r="AJ16" i="11"/>
  <c r="AI16" i="11"/>
  <c r="AI14" i="11"/>
  <c r="E7" i="14" s="1"/>
  <c r="AG24" i="11"/>
  <c r="C10" i="14" s="1"/>
  <c r="AI23" i="11"/>
  <c r="E9" i="14" s="1"/>
  <c r="AJ13" i="11"/>
  <c r="AG9" i="11"/>
  <c r="C6" i="14" s="1"/>
  <c r="AI8" i="11"/>
  <c r="E5" i="14" s="1"/>
  <c r="M15" i="2"/>
  <c r="K15" i="2"/>
  <c r="E15" i="2"/>
  <c r="J15" i="2"/>
  <c r="G15" i="2"/>
  <c r="H15" i="2"/>
  <c r="O15" i="2"/>
  <c r="I15" i="2"/>
  <c r="F15" i="2"/>
  <c r="L15" i="2"/>
  <c r="N15" i="2"/>
  <c r="AI24" i="11" l="1"/>
  <c r="B10" i="14"/>
  <c r="AI9" i="11"/>
  <c r="B6" i="14"/>
  <c r="N23" i="2"/>
  <c r="L23" i="2"/>
  <c r="J23" i="2"/>
  <c r="I23" i="2"/>
  <c r="K23" i="2"/>
  <c r="M23" i="2"/>
  <c r="G23" i="2"/>
  <c r="D23" i="2"/>
  <c r="AJ9" i="11" l="1"/>
  <c r="F6" i="14" s="1"/>
  <c r="E6" i="14"/>
  <c r="AJ24" i="11"/>
  <c r="F10" i="14" s="1"/>
  <c r="E10" i="14"/>
  <c r="O23" i="2"/>
  <c r="H23" i="2"/>
  <c r="E23" i="2"/>
  <c r="F23" i="2"/>
  <c r="L25" i="2"/>
  <c r="G25" i="2"/>
  <c r="I25" i="2"/>
  <c r="K25" i="2"/>
  <c r="N25" i="2"/>
  <c r="J25" i="2"/>
  <c r="M25" i="2"/>
  <c r="O25" i="2" l="1"/>
  <c r="H25" i="2"/>
  <c r="E25" i="2"/>
  <c r="F25" i="2"/>
  <c r="D13" i="2" l="1"/>
  <c r="D15" i="2" s="1"/>
  <c r="D2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E614AB-A95B-43F1-B300-4ACCB6307B9B}" keepAlive="1" name="Zapytanie — tAccountOverwiew" description="Połączenie z zapytaniem „tAccountOverwiew” w skoroszycie." type="5" refreshedVersion="0" background="1">
    <dbPr connection="Provider=Microsoft.Mashup.OleDb.1;Data Source=$Workbook$;Location=tAccountOverwiew;Extended Properties=&quot;&quot;" command="SELECT * FROM [tAccountOverwiew]"/>
  </connection>
  <connection id="2" xr16:uid="{D06B4E0A-72D2-4D54-90A4-814473945559}" keepAlive="1" name="Zapytanie — tActuals" description="Połączenie z zapytaniem „tActuals” w skoroszycie." type="5" refreshedVersion="8" background="1" saveData="1">
    <dbPr connection="Provider=Microsoft.Mashup.OleDb.1;Data Source=$Workbook$;Location=tActuals;Extended Properties=&quot;&quot;" command="SELECT * FROM [tActu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<sst xmlns="http://schemas.openxmlformats.org/spreadsheetml/2006/main" count="1476" uniqueCount="230">
  <si>
    <t>Account</t>
  </si>
  <si>
    <t>Year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</si>
  <si>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</si>
  <si>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</si>
  <si>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</si>
  <si>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</si>
  <si>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</si>
  <si>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</si>
  <si>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</si>
  <si>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</si>
  <si>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</si>
  <si>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</si>
  <si>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</si>
  <si>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</si>
  <si>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Revenue</t>
  </si>
  <si>
    <t>COGS</t>
  </si>
  <si>
    <t>Gross Profit</t>
  </si>
  <si>
    <t>Marketing</t>
  </si>
  <si>
    <t>Labour</t>
  </si>
  <si>
    <t>Rent</t>
  </si>
  <si>
    <t>Insurances</t>
  </si>
  <si>
    <t>Travel</t>
  </si>
  <si>
    <t>Consulting</t>
  </si>
  <si>
    <t>OPEX</t>
  </si>
  <si>
    <t>EBITDA</t>
  </si>
  <si>
    <t>Payment</t>
  </si>
  <si>
    <t>Warehouse</t>
  </si>
  <si>
    <t>Distribution</t>
  </si>
  <si>
    <t>Name</t>
  </si>
  <si>
    <t>Payment (PayPal)</t>
  </si>
  <si>
    <t>Labour (Bonuses)</t>
  </si>
  <si>
    <t>Labour (Social Contributions)</t>
  </si>
  <si>
    <t>Marketing (Google)</t>
  </si>
  <si>
    <t>Marketing (Meta)</t>
  </si>
  <si>
    <t>Marketing (Flyers)</t>
  </si>
  <si>
    <t>Marketing (TV)</t>
  </si>
  <si>
    <t>Marketing (Print)</t>
  </si>
  <si>
    <t>Revenue (DE)</t>
  </si>
  <si>
    <t>Revenue (PL)</t>
  </si>
  <si>
    <t>Revenue (NL)</t>
  </si>
  <si>
    <t>COGS (DE)</t>
  </si>
  <si>
    <t>COGS (PL)</t>
  </si>
  <si>
    <t>COGS (NL)</t>
  </si>
  <si>
    <t>COGS (Others)</t>
  </si>
  <si>
    <t>Insurance (Cyber Security)</t>
  </si>
  <si>
    <t>Insurance (Legal Protection)</t>
  </si>
  <si>
    <t>Insurance (Others)</t>
  </si>
  <si>
    <t>Consulting (for different IT-Tools)</t>
  </si>
  <si>
    <t>Labour (Salaries)</t>
  </si>
  <si>
    <t>Consulting (BCG, KPMG, etc.)</t>
  </si>
  <si>
    <t>Variable Costs</t>
  </si>
  <si>
    <t>Conribution Profit</t>
  </si>
  <si>
    <t>Distribution (Different Carriers)</t>
  </si>
  <si>
    <t>Payment (Credit Card)</t>
  </si>
  <si>
    <t>Distribution (Package Material)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</si>
  <si>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</si>
  <si>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</si>
  <si>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</si>
  <si>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</si>
  <si>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</si>
  <si>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</si>
  <si>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</si>
  <si>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</si>
  <si>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</si>
  <si>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</si>
  <si>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</si>
  <si>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</si>
  <si>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January1</t>
  </si>
  <si>
    <t>February1</t>
  </si>
  <si>
    <t>March1</t>
  </si>
  <si>
    <t>April1</t>
  </si>
  <si>
    <t>May1</t>
  </si>
  <si>
    <t>June1</t>
  </si>
  <si>
    <t>Value</t>
  </si>
  <si>
    <t>Month</t>
  </si>
  <si>
    <t>Etykiety kolumn</t>
  </si>
  <si>
    <t>Year_month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</si>
  <si>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</si>
  <si>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</si>
  <si>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</si>
  <si>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</si>
  <si>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</si>
  <si>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</si>
  <si>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</si>
  <si>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</si>
  <si>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</si>
  <si>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</si>
  <si>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</si>
  <si>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</si>
  <si>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Account_description</t>
  </si>
  <si>
    <t>2025.01</t>
  </si>
  <si>
    <t>2025.02</t>
  </si>
  <si>
    <t>2025.03</t>
  </si>
  <si>
    <t>2025.04</t>
  </si>
  <si>
    <t>2025.05</t>
  </si>
  <si>
    <t>2025.06</t>
  </si>
  <si>
    <t>REVENUE</t>
  </si>
  <si>
    <t>GROSS PROFIT</t>
  </si>
  <si>
    <t>VARIABLE COSTS</t>
  </si>
  <si>
    <t>CONTRIBUTION PROFIT</t>
  </si>
  <si>
    <t>LABOUR</t>
  </si>
  <si>
    <t>MARKETING</t>
  </si>
  <si>
    <t>CONSULTING</t>
  </si>
  <si>
    <t xml:space="preserve">TRAVEL </t>
  </si>
  <si>
    <t xml:space="preserve">RENT </t>
  </si>
  <si>
    <t>P&amp;L ACTUALS</t>
  </si>
  <si>
    <t>CATEGORY</t>
  </si>
  <si>
    <t>PAYMENT</t>
  </si>
  <si>
    <t>DISTRIBUTION</t>
  </si>
  <si>
    <t xml:space="preserve">WAREHOUSE </t>
  </si>
  <si>
    <t>2025-01_est</t>
  </si>
  <si>
    <t>2025-02_est</t>
  </si>
  <si>
    <t>2025-03_est</t>
  </si>
  <si>
    <t>2025-04_est</t>
  </si>
  <si>
    <t>2025-05_est</t>
  </si>
  <si>
    <t>2025-06_est</t>
  </si>
  <si>
    <t>2025-07_est</t>
  </si>
  <si>
    <t>2025-08_est</t>
  </si>
  <si>
    <t>2025-09_est</t>
  </si>
  <si>
    <t>2025-10_est</t>
  </si>
  <si>
    <t>2025-11_est</t>
  </si>
  <si>
    <t>2025-12_est</t>
  </si>
  <si>
    <t>INSURANCES</t>
  </si>
  <si>
    <t>Contribution Profit</t>
  </si>
  <si>
    <t>Act 2025</t>
  </si>
  <si>
    <t>PY 2024</t>
  </si>
  <si>
    <t>% vs Budget</t>
  </si>
  <si>
    <t>JANUARY</t>
  </si>
  <si>
    <t>FEBRUARY</t>
  </si>
  <si>
    <t>MARCH</t>
  </si>
  <si>
    <t>APRIL</t>
  </si>
  <si>
    <t>MAY</t>
  </si>
  <si>
    <t>JUNE</t>
  </si>
  <si>
    <t>YTD JAN – JUN</t>
  </si>
  <si>
    <t>Budget</t>
  </si>
  <si>
    <t>2025.07</t>
  </si>
  <si>
    <t>2025.08</t>
  </si>
  <si>
    <t>2025.09</t>
  </si>
  <si>
    <t>2025.10</t>
  </si>
  <si>
    <t>2025.11</t>
  </si>
  <si>
    <t>2025.12</t>
  </si>
  <si>
    <t>2025.01_act</t>
  </si>
  <si>
    <t>2024.01_act</t>
  </si>
  <si>
    <t>2025.01_est</t>
  </si>
  <si>
    <t>2025.02_act</t>
  </si>
  <si>
    <t>2024.02_act</t>
  </si>
  <si>
    <t>2025.02_est</t>
  </si>
  <si>
    <t>2025.03_act</t>
  </si>
  <si>
    <t>2024.03_act</t>
  </si>
  <si>
    <t>2025.03_est</t>
  </si>
  <si>
    <t>2025.04_act</t>
  </si>
  <si>
    <t>2024.04_act</t>
  </si>
  <si>
    <t>2025.04_est</t>
  </si>
  <si>
    <t>2025.05_act</t>
  </si>
  <si>
    <t>2024.05_act</t>
  </si>
  <si>
    <t>2025.05_est</t>
  </si>
  <si>
    <t>2025.06_act</t>
  </si>
  <si>
    <t>2024.06_act</t>
  </si>
  <si>
    <t>2025.06_est</t>
  </si>
  <si>
    <t>2024.07_act</t>
  </si>
  <si>
    <t>2024.08_act</t>
  </si>
  <si>
    <t>2024.09_act</t>
  </si>
  <si>
    <t>2024.10_act</t>
  </si>
  <si>
    <t>2024.11_act</t>
  </si>
  <si>
    <t>2024.12_act</t>
  </si>
  <si>
    <t>Gross profit %</t>
  </si>
  <si>
    <t>Contribution profit %</t>
  </si>
  <si>
    <t>supp values</t>
  </si>
  <si>
    <t>EBITDA margin %</t>
  </si>
  <si>
    <r>
      <rPr>
        <b/>
        <sz val="11"/>
        <color theme="0"/>
        <rFont val="Calibri"/>
        <family val="2"/>
        <charset val="238"/>
      </rPr>
      <t xml:space="preserve">∆ </t>
    </r>
    <r>
      <rPr>
        <b/>
        <sz val="11"/>
        <color theme="0"/>
        <rFont val="Calibri"/>
        <family val="2"/>
        <charset val="238"/>
        <scheme val="minor"/>
      </rPr>
      <t>vs Budget</t>
    </r>
  </si>
  <si>
    <t>MANAGEMENT P&amp;L REPORT  - ACTUALS VS BUDGET VS PRIOR YEAR - JAN 2025 - JUNE 2025</t>
  </si>
  <si>
    <t>KPI / Month</t>
  </si>
  <si>
    <t>YTD Act</t>
  </si>
  <si>
    <t>COGS / REVENUE</t>
  </si>
  <si>
    <t>VARIABLE COSTS / REVENUE</t>
  </si>
  <si>
    <t>OPEX / REVENUE</t>
  </si>
  <si>
    <t>LABOUR / REVENUE</t>
  </si>
  <si>
    <t>2025.01_bud</t>
  </si>
  <si>
    <t>2025.02_bud</t>
  </si>
  <si>
    <t>2025.03_bud</t>
  </si>
  <si>
    <t>2025.04_bud</t>
  </si>
  <si>
    <t>2025.05_bud</t>
  </si>
  <si>
    <t>2025.06_bud</t>
  </si>
  <si>
    <t>REVENUE &amp; MARGIN</t>
  </si>
  <si>
    <t>PROFITABILITY</t>
  </si>
  <si>
    <t>MARKETING / REVENUE</t>
  </si>
  <si>
    <t>YTD Bud</t>
  </si>
  <si>
    <t>YTD PY</t>
  </si>
  <si>
    <t>KPI Dashboard — Monthly Performance Trends |Actuals vs Budget vs PY| Jan – Jun 2025</t>
  </si>
  <si>
    <t>Performance Charts | Jan - Jun 2025</t>
  </si>
  <si>
    <t>Revenue Act</t>
  </si>
  <si>
    <t>Revenue Bud</t>
  </si>
  <si>
    <t>Revenue PY</t>
  </si>
  <si>
    <t>EBITDA% Act</t>
  </si>
  <si>
    <t>EBITDA% Bud</t>
  </si>
  <si>
    <t>EBITDA Act</t>
  </si>
  <si>
    <t>EBITDA Bud</t>
  </si>
  <si>
    <t>EBITDA PY</t>
  </si>
  <si>
    <t>Jan</t>
  </si>
  <si>
    <t>Feb</t>
  </si>
  <si>
    <t>Mar</t>
  </si>
  <si>
    <t>Apr</t>
  </si>
  <si>
    <t>Jun</t>
  </si>
  <si>
    <t>Gross profit % Act</t>
  </si>
  <si>
    <t>Gross profit % Bud</t>
  </si>
  <si>
    <t>Contribution profit % Act</t>
  </si>
  <si>
    <t>EBITDA profit %</t>
  </si>
  <si>
    <t>Cost Category</t>
  </si>
  <si>
    <t xml:space="preserve">Warehouse </t>
  </si>
  <si>
    <t xml:space="preserve">Rent </t>
  </si>
  <si>
    <t xml:space="preserve">Travel </t>
  </si>
  <si>
    <t>Analysis — Deviations, Drivers &amp; Recommendations | YTD Jan–Jun 2025</t>
  </si>
  <si>
    <t>Gross Profit %</t>
  </si>
  <si>
    <t>Category/Period</t>
  </si>
  <si>
    <t>∆ vs Budget</t>
  </si>
  <si>
    <r>
      <t xml:space="preserve">EBITDA ACT 2,35M vs Budget 8,42M -&gt; </t>
    </r>
    <r>
      <rPr>
        <b/>
        <sz val="10"/>
        <color rgb="FFFF0000"/>
        <rFont val="Calibri"/>
        <family val="2"/>
        <charset val="238"/>
        <scheme val="minor"/>
      </rPr>
      <t>-5,1M (-72%) below budget.</t>
    </r>
    <r>
      <rPr>
        <sz val="10"/>
        <color theme="1"/>
        <rFont val="Calibri"/>
        <family val="2"/>
        <charset val="238"/>
        <scheme val="minor"/>
      </rPr>
      <t xml:space="preserve"> </t>
    </r>
    <r>
      <rPr>
        <u/>
        <sz val="10"/>
        <color theme="1"/>
        <rFont val="Calibri"/>
        <family val="2"/>
        <charset val="238"/>
        <scheme val="minor"/>
      </rPr>
      <t>Main reason</t>
    </r>
    <r>
      <rPr>
        <sz val="10"/>
        <color theme="1"/>
        <rFont val="Calibri"/>
        <family val="2"/>
        <charset val="238"/>
        <scheme val="minor"/>
      </rPr>
      <t xml:space="preserve">: stable labour and warehouse costs, they didn't decrease with the decrease of revenue. </t>
    </r>
    <r>
      <rPr>
        <b/>
        <sz val="10"/>
        <color theme="1"/>
        <rFont val="Calibri"/>
        <family val="2"/>
        <charset val="238"/>
        <scheme val="minor"/>
      </rPr>
      <t>Future action in this area required</t>
    </r>
  </si>
  <si>
    <t>Labour/Revenue</t>
  </si>
  <si>
    <t xml:space="preserve"> - Conduct an analysis regarding revenue decrease and its budgeting methods</t>
  </si>
  <si>
    <t xml:space="preserve"> - Review fixed costs, renegotiate prices/capacity</t>
  </si>
  <si>
    <t>STRATEGIC RECOMMENDATIONS</t>
  </si>
  <si>
    <t>Ratio act 6,9% vs 5,7% in the budget (+1,2 pp). With revenues of 138M this means to approx. 1,7M of additional charge on the final result</t>
  </si>
  <si>
    <t>GROSS PROFIT %</t>
  </si>
  <si>
    <r>
      <t xml:space="preserve">YTD Revenue 138M -&gt; </t>
    </r>
    <r>
      <rPr>
        <b/>
        <sz val="10"/>
        <color rgb="FFFF0000"/>
        <rFont val="Calibri"/>
        <family val="2"/>
        <charset val="238"/>
        <scheme val="minor"/>
      </rPr>
      <t>-22,6M</t>
    </r>
    <r>
      <rPr>
        <sz val="10"/>
        <color theme="1"/>
        <rFont val="Calibri"/>
        <family val="2"/>
        <charset val="238"/>
        <scheme val="minor"/>
      </rPr>
      <t xml:space="preserve"> </t>
    </r>
    <r>
      <rPr>
        <b/>
        <sz val="10"/>
        <color rgb="FFFF0000"/>
        <rFont val="Calibri"/>
        <family val="2"/>
        <charset val="238"/>
        <scheme val="minor"/>
      </rPr>
      <t>(-14.1%)</t>
    </r>
    <r>
      <rPr>
        <sz val="10"/>
        <color theme="1"/>
        <rFont val="Calibri"/>
        <family val="2"/>
        <charset val="238"/>
        <scheme val="minor"/>
      </rPr>
      <t xml:space="preserve"> </t>
    </r>
    <r>
      <rPr>
        <b/>
        <sz val="10"/>
        <color rgb="FFFF0000"/>
        <rFont val="Calibri"/>
        <family val="2"/>
        <charset val="238"/>
        <scheme val="minor"/>
      </rPr>
      <t>below</t>
    </r>
    <r>
      <rPr>
        <sz val="10"/>
        <color rgb="FFFF0000"/>
        <rFont val="Calibri"/>
        <family val="2"/>
        <charset val="238"/>
        <scheme val="minor"/>
      </rPr>
      <t xml:space="preserve"> </t>
    </r>
    <r>
      <rPr>
        <b/>
        <sz val="10"/>
        <color rgb="FFFF0000"/>
        <rFont val="Calibri"/>
        <family val="2"/>
        <charset val="238"/>
        <scheme val="minor"/>
      </rPr>
      <t>budget</t>
    </r>
    <r>
      <rPr>
        <sz val="10"/>
        <color theme="1"/>
        <rFont val="Calibri"/>
        <family val="2"/>
        <charset val="238"/>
        <scheme val="minor"/>
      </rPr>
      <t xml:space="preserve">. </t>
    </r>
    <r>
      <rPr>
        <b/>
        <sz val="10"/>
        <color theme="1"/>
        <rFont val="Calibri"/>
        <family val="2"/>
        <charset val="238"/>
        <scheme val="minor"/>
      </rPr>
      <t xml:space="preserve">No month met the target. </t>
    </r>
    <r>
      <rPr>
        <sz val="10"/>
        <color theme="1"/>
        <rFont val="Calibri"/>
        <family val="2"/>
        <charset val="238"/>
        <scheme val="minor"/>
      </rPr>
      <t>April 2025 was the worst
 (-32% vs budget)</t>
    </r>
  </si>
  <si>
    <r>
      <t xml:space="preserve">Product margins are </t>
    </r>
    <r>
      <rPr>
        <b/>
        <sz val="10"/>
        <color theme="1"/>
        <rFont val="Calibri"/>
        <family val="2"/>
        <charset val="238"/>
        <scheme val="minor"/>
      </rPr>
      <t>stable</t>
    </r>
    <r>
      <rPr>
        <sz val="10"/>
        <color theme="1"/>
        <rFont val="Calibri"/>
        <family val="2"/>
        <charset val="238"/>
        <scheme val="minor"/>
      </rPr>
      <t xml:space="preserve"> -&gt; </t>
    </r>
    <r>
      <rPr>
        <b/>
        <sz val="10"/>
        <color theme="1"/>
        <rFont val="Calibri"/>
        <family val="2"/>
        <charset val="238"/>
        <scheme val="minor"/>
      </rPr>
      <t>OK</t>
    </r>
    <r>
      <rPr>
        <sz val="10"/>
        <color theme="1"/>
        <rFont val="Calibri"/>
        <family val="2"/>
        <charset val="238"/>
        <scheme val="minor"/>
      </rPr>
      <t xml:space="preserve">
Gross Profit Act 39,3% vs Budget 40,0% - small deviation (0,7 pp.)</t>
    </r>
  </si>
  <si>
    <t>Etykiety wierszy</t>
  </si>
  <si>
    <t>Suma końcowa</t>
  </si>
  <si>
    <t>SUM TOTAL</t>
  </si>
  <si>
    <t>Kolumna1</t>
  </si>
  <si>
    <t>Suma z SUM TOTAL</t>
  </si>
  <si>
    <t>Suma z SUM 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</si>
</sst>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0.0%"/>
    <numFmt numFmtId="166" formatCode="#,##0_ ;\-#,##0\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12236"/>
      <name val="Segoe UI"/>
      <family val="2"/>
    </font>
    <font>
      <sz val="14"/>
      <color rgb="FF212236"/>
      <name val="Segoe UI"/>
      <family val="2"/>
    </font>
    <font>
      <sz val="11"/>
      <color rgb="FF212236"/>
      <name val="Segoe UI"/>
      <family val="2"/>
    </font>
    <font>
      <sz val="10"/>
      <color rgb="FFCBD5E0"/>
      <name val="Segoe UI"/>
      <family val="2"/>
    </font>
    <font>
      <sz val="10"/>
      <color rgb="FF637381"/>
      <name val="Segoe UI"/>
      <family val="2"/>
    </font>
    <font>
      <b/>
      <sz val="10"/>
      <color rgb="FF212236"/>
      <name val="Segoe UI"/>
      <family val="2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9"/>
      <name val="Arial Nova"/>
      <family val="2"/>
      <charset val="238"/>
    </font>
    <font>
      <sz val="9"/>
      <name val="Arial Nova"/>
      <family val="2"/>
      <charset val="238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8"/>
      <color theme="0" tint="-0.249977111117893"/>
      <name val="Calibri"/>
      <family val="2"/>
      <charset val="238"/>
      <scheme val="minor"/>
    </font>
    <font>
      <b/>
      <sz val="9"/>
      <color theme="0"/>
      <name val="Arial Nova"/>
      <family val="2"/>
      <charset val="238"/>
    </font>
    <font>
      <b/>
      <sz val="11"/>
      <color theme="0"/>
      <name val="Calibri"/>
      <family val="2"/>
      <charset val="238"/>
    </font>
    <font>
      <b/>
      <sz val="12"/>
      <color theme="0"/>
      <name val="Calibri"/>
      <family val="2"/>
      <charset val="238"/>
      <scheme val="minor"/>
    </font>
    <font>
      <sz val="8"/>
      <color theme="0" tint="-0.14999847407452621"/>
      <name val="Calibri"/>
      <family val="2"/>
      <charset val="238"/>
      <scheme val="minor"/>
    </font>
    <font>
      <sz val="11"/>
      <color theme="0" tint="-0.14999847407452621"/>
      <name val="Calibri"/>
      <family val="2"/>
      <charset val="238"/>
      <scheme val="minor"/>
    </font>
    <font>
      <b/>
      <sz val="12"/>
      <color rgb="FF1F3864"/>
      <name val="Calibri"/>
      <family val="2"/>
      <charset val="238"/>
      <scheme val="minor"/>
    </font>
    <font>
      <b/>
      <sz val="12"/>
      <color rgb="FFFFFFFF"/>
      <name val="Calibri"/>
      <family val="2"/>
      <charset val="238"/>
      <scheme val="minor"/>
    </font>
    <font>
      <b/>
      <sz val="11"/>
      <color rgb="FF1F3864"/>
      <name val="Calibri"/>
      <family val="2"/>
      <charset val="238"/>
      <scheme val="minor"/>
    </font>
    <font>
      <sz val="9"/>
      <color theme="1"/>
      <name val="Arial Nova"/>
      <family val="2"/>
      <charset val="238"/>
    </font>
    <font>
      <b/>
      <sz val="14"/>
      <color rgb="FFFFFFFF"/>
      <name val="Calibri"/>
      <family val="2"/>
      <charset val="238"/>
    </font>
    <font>
      <sz val="8"/>
      <color theme="0" tint="-0.249977111117893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u/>
      <sz val="10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rgb="FF33339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57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CBD5E0"/>
      </top>
      <bottom/>
      <diagonal/>
    </border>
    <border>
      <left/>
      <right/>
      <top/>
      <bottom style="thin">
        <color rgb="FFCBD5E0"/>
      </bottom>
      <diagonal/>
    </border>
    <border>
      <left style="thin">
        <color rgb="FF919EAB"/>
      </left>
      <right style="thin">
        <color rgb="FF919EAB"/>
      </right>
      <top style="thin">
        <color rgb="FF919EAB"/>
      </top>
      <bottom style="thin">
        <color rgb="FF919EAB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7">
    <xf numFmtId="0" fontId="0" fillId="0" borderId="0"/>
    <xf numFmtId="9" fontId="5" fillId="0" borderId="0" applyFont="0" applyFill="0" applyBorder="0" applyAlignment="0" applyProtection="0"/>
    <xf numFmtId="0" fontId="8" fillId="0" borderId="2"/>
    <xf numFmtId="0" fontId="9" fillId="0" borderId="0"/>
    <xf numFmtId="0" fontId="10" fillId="0" borderId="0"/>
    <xf numFmtId="0" fontId="11" fillId="0" borderId="0"/>
    <xf numFmtId="0" fontId="8" fillId="0" borderId="3"/>
    <xf numFmtId="0" fontId="12" fillId="0" borderId="0">
      <alignment horizontal="center"/>
    </xf>
    <xf numFmtId="0" fontId="8" fillId="0" borderId="4">
      <alignment horizontal="center"/>
    </xf>
    <xf numFmtId="0" fontId="8" fillId="0" borderId="5"/>
    <xf numFmtId="0" fontId="8" fillId="0" borderId="0">
      <alignment horizontal="right"/>
    </xf>
    <xf numFmtId="164" fontId="8" fillId="0" borderId="0">
      <alignment horizontal="right"/>
    </xf>
    <xf numFmtId="0" fontId="8" fillId="0" borderId="0"/>
    <xf numFmtId="164" fontId="8" fillId="0" borderId="0"/>
    <xf numFmtId="3" fontId="8" fillId="0" borderId="0"/>
    <xf numFmtId="0" fontId="13" fillId="0" borderId="0"/>
    <xf numFmtId="0" fontId="13" fillId="0" borderId="0"/>
  </cellStyleXfs>
  <cellXfs count="136">
    <xf numFmtId="0" fontId="0" fillId="0" borderId="0" xfId="0"/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3" fontId="0" fillId="0" borderId="0" xfId="0" applyNumberFormat="1"/>
    <xf numFmtId="3" fontId="6" fillId="0" borderId="1" xfId="0" applyNumberFormat="1" applyFont="1" applyBorder="1"/>
    <xf numFmtId="165" fontId="0" fillId="0" borderId="0" xfId="1" applyNumberFormat="1" applyFont="1"/>
    <xf numFmtId="49" fontId="0" fillId="0" borderId="0" xfId="0" applyNumberFormat="1" applyAlignment="1">
      <alignment horizontal="left"/>
    </xf>
    <xf numFmtId="4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49" fontId="0" fillId="0" borderId="0" xfId="0" applyNumberFormat="1"/>
    <xf numFmtId="0" fontId="14" fillId="0" borderId="0" xfId="0" applyFont="1" applyAlignment="1">
      <alignment horizontal="left"/>
    </xf>
    <xf numFmtId="4" fontId="14" fillId="0" borderId="0" xfId="0" applyNumberFormat="1" applyFont="1"/>
    <xf numFmtId="0" fontId="14" fillId="2" borderId="0" xfId="0" applyFont="1" applyFill="1" applyAlignment="1">
      <alignment horizontal="left"/>
    </xf>
    <xf numFmtId="4" fontId="14" fillId="2" borderId="0" xfId="0" applyNumberFormat="1" applyFont="1" applyFill="1"/>
    <xf numFmtId="0" fontId="14" fillId="3" borderId="0" xfId="0" applyFont="1" applyFill="1" applyAlignment="1">
      <alignment horizontal="left"/>
    </xf>
    <xf numFmtId="4" fontId="14" fillId="3" borderId="0" xfId="0" applyNumberFormat="1" applyFont="1" applyFill="1"/>
    <xf numFmtId="0" fontId="0" fillId="3" borderId="0" xfId="0" applyFill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0" fontId="17" fillId="0" borderId="0" xfId="0" applyFont="1"/>
    <xf numFmtId="0" fontId="19" fillId="0" borderId="0" xfId="0" applyFont="1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0" fillId="0" borderId="0" xfId="0" applyFont="1"/>
    <xf numFmtId="16" fontId="0" fillId="0" borderId="0" xfId="0" applyNumberFormat="1"/>
    <xf numFmtId="3" fontId="17" fillId="0" borderId="0" xfId="0" applyNumberFormat="1" applyFont="1"/>
    <xf numFmtId="16" fontId="0" fillId="0" borderId="6" xfId="0" applyNumberFormat="1" applyBorder="1"/>
    <xf numFmtId="0" fontId="0" fillId="0" borderId="6" xfId="0" applyBorder="1"/>
    <xf numFmtId="0" fontId="23" fillId="0" borderId="0" xfId="0" applyFont="1"/>
    <xf numFmtId="0" fontId="3" fillId="0" borderId="0" xfId="0" applyFont="1"/>
    <xf numFmtId="9" fontId="3" fillId="0" borderId="0" xfId="1" applyFont="1"/>
    <xf numFmtId="0" fontId="0" fillId="0" borderId="0" xfId="1" applyNumberFormat="1" applyFont="1" applyFill="1" applyBorder="1"/>
    <xf numFmtId="165" fontId="0" fillId="0" borderId="0" xfId="1" applyNumberFormat="1" applyFont="1" applyBorder="1"/>
    <xf numFmtId="165" fontId="3" fillId="0" borderId="0" xfId="1" applyNumberFormat="1" applyFont="1" applyBorder="1"/>
    <xf numFmtId="0" fontId="24" fillId="0" borderId="0" xfId="0" applyFont="1"/>
    <xf numFmtId="4" fontId="24" fillId="0" borderId="0" xfId="0" applyNumberFormat="1" applyFont="1"/>
    <xf numFmtId="0" fontId="16" fillId="4" borderId="8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4" fontId="16" fillId="7" borderId="8" xfId="0" applyNumberFormat="1" applyFont="1" applyFill="1" applyBorder="1" applyAlignment="1">
      <alignment horizontal="center"/>
    </xf>
    <xf numFmtId="4" fontId="16" fillId="7" borderId="9" xfId="0" applyNumberFormat="1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166" fontId="23" fillId="8" borderId="0" xfId="0" applyNumberFormat="1" applyFont="1" applyFill="1"/>
    <xf numFmtId="165" fontId="23" fillId="8" borderId="0" xfId="1" applyNumberFormat="1" applyFont="1" applyFill="1" applyBorder="1"/>
    <xf numFmtId="166" fontId="0" fillId="0" borderId="0" xfId="0" applyNumberFormat="1"/>
    <xf numFmtId="166" fontId="14" fillId="0" borderId="0" xfId="0" applyNumberFormat="1" applyFont="1"/>
    <xf numFmtId="165" fontId="14" fillId="0" borderId="0" xfId="1" applyNumberFormat="1" applyFont="1" applyBorder="1"/>
    <xf numFmtId="165" fontId="22" fillId="8" borderId="0" xfId="1" applyNumberFormat="1" applyFont="1" applyFill="1" applyBorder="1"/>
    <xf numFmtId="165" fontId="23" fillId="8" borderId="14" xfId="1" applyNumberFormat="1" applyFont="1" applyFill="1" applyBorder="1"/>
    <xf numFmtId="165" fontId="3" fillId="0" borderId="14" xfId="1" applyNumberFormat="1" applyFont="1" applyBorder="1"/>
    <xf numFmtId="165" fontId="0" fillId="0" borderId="14" xfId="1" applyNumberFormat="1" applyFont="1" applyBorder="1"/>
    <xf numFmtId="165" fontId="14" fillId="0" borderId="14" xfId="1" applyNumberFormat="1" applyFont="1" applyBorder="1"/>
    <xf numFmtId="165" fontId="22" fillId="8" borderId="14" xfId="1" applyNumberFormat="1" applyFont="1" applyFill="1" applyBorder="1"/>
    <xf numFmtId="166" fontId="23" fillId="8" borderId="15" xfId="0" applyNumberFormat="1" applyFont="1" applyFill="1" applyBorder="1"/>
    <xf numFmtId="165" fontId="23" fillId="8" borderId="15" xfId="1" applyNumberFormat="1" applyFont="1" applyFill="1" applyBorder="1"/>
    <xf numFmtId="165" fontId="23" fillId="8" borderId="16" xfId="1" applyNumberFormat="1" applyFont="1" applyFill="1" applyBorder="1"/>
    <xf numFmtId="3" fontId="23" fillId="8" borderId="0" xfId="0" applyNumberFormat="1" applyFont="1" applyFill="1"/>
    <xf numFmtId="3" fontId="23" fillId="8" borderId="17" xfId="0" applyNumberFormat="1" applyFont="1" applyFill="1" applyBorder="1"/>
    <xf numFmtId="0" fontId="14" fillId="0" borderId="17" xfId="1" applyNumberFormat="1" applyFont="1" applyBorder="1"/>
    <xf numFmtId="3" fontId="0" fillId="0" borderId="17" xfId="0" applyNumberFormat="1" applyBorder="1"/>
    <xf numFmtId="3" fontId="14" fillId="0" borderId="17" xfId="0" applyNumberFormat="1" applyFont="1" applyBorder="1"/>
    <xf numFmtId="165" fontId="22" fillId="8" borderId="17" xfId="1" applyNumberFormat="1" applyFont="1" applyFill="1" applyBorder="1"/>
    <xf numFmtId="3" fontId="23" fillId="8" borderId="18" xfId="0" applyNumberFormat="1" applyFont="1" applyFill="1" applyBorder="1"/>
    <xf numFmtId="3" fontId="23" fillId="9" borderId="0" xfId="0" applyNumberFormat="1" applyFont="1" applyFill="1"/>
    <xf numFmtId="0" fontId="2" fillId="0" borderId="0" xfId="0" applyFont="1"/>
    <xf numFmtId="0" fontId="28" fillId="0" borderId="0" xfId="0" applyFont="1"/>
    <xf numFmtId="0" fontId="29" fillId="0" borderId="0" xfId="0" applyFont="1"/>
    <xf numFmtId="166" fontId="22" fillId="0" borderId="0" xfId="0" applyNumberFormat="1" applyFont="1"/>
    <xf numFmtId="0" fontId="16" fillId="6" borderId="0" xfId="0" applyFont="1" applyFill="1" applyAlignment="1">
      <alignment horizontal="center"/>
    </xf>
    <xf numFmtId="0" fontId="31" fillId="10" borderId="0" xfId="0" applyFont="1" applyFill="1" applyAlignment="1">
      <alignment horizontal="center" vertical="center"/>
    </xf>
    <xf numFmtId="0" fontId="33" fillId="0" borderId="0" xfId="0" applyFont="1"/>
    <xf numFmtId="3" fontId="22" fillId="8" borderId="0" xfId="0" applyNumberFormat="1" applyFont="1" applyFill="1"/>
    <xf numFmtId="0" fontId="32" fillId="13" borderId="0" xfId="0" applyFont="1" applyFill="1" applyAlignment="1">
      <alignment vertical="center"/>
    </xf>
    <xf numFmtId="0" fontId="30" fillId="13" borderId="0" xfId="0" applyFont="1" applyFill="1" applyAlignment="1">
      <alignment vertical="center"/>
    </xf>
    <xf numFmtId="166" fontId="22" fillId="14" borderId="0" xfId="0" applyNumberFormat="1" applyFont="1" applyFill="1"/>
    <xf numFmtId="165" fontId="22" fillId="14" borderId="0" xfId="1" applyNumberFormat="1" applyFont="1" applyFill="1"/>
    <xf numFmtId="165" fontId="22" fillId="8" borderId="0" xfId="1" applyNumberFormat="1" applyFont="1" applyFill="1"/>
    <xf numFmtId="166" fontId="23" fillId="12" borderId="0" xfId="0" applyNumberFormat="1" applyFont="1" applyFill="1"/>
    <xf numFmtId="165" fontId="23" fillId="12" borderId="0" xfId="1" applyNumberFormat="1" applyFont="1" applyFill="1"/>
    <xf numFmtId="10" fontId="23" fillId="12" borderId="0" xfId="1" applyNumberFormat="1" applyFont="1" applyFill="1"/>
    <xf numFmtId="166" fontId="23" fillId="14" borderId="0" xfId="0" applyNumberFormat="1" applyFont="1" applyFill="1"/>
    <xf numFmtId="166" fontId="23" fillId="0" borderId="0" xfId="0" applyNumberFormat="1" applyFont="1"/>
    <xf numFmtId="165" fontId="23" fillId="14" borderId="0" xfId="1" applyNumberFormat="1" applyFont="1" applyFill="1"/>
    <xf numFmtId="165" fontId="23" fillId="0" borderId="0" xfId="1" applyNumberFormat="1" applyFont="1"/>
    <xf numFmtId="0" fontId="35" fillId="0" borderId="0" xfId="0" applyFont="1"/>
    <xf numFmtId="0" fontId="21" fillId="0" borderId="21" xfId="0" applyFont="1" applyBorder="1"/>
    <xf numFmtId="0" fontId="21" fillId="0" borderId="22" xfId="0" applyFont="1" applyBorder="1"/>
    <xf numFmtId="0" fontId="23" fillId="11" borderId="21" xfId="0" applyFont="1" applyFill="1" applyBorder="1"/>
    <xf numFmtId="3" fontId="17" fillId="11" borderId="21" xfId="0" applyNumberFormat="1" applyFont="1" applyFill="1" applyBorder="1"/>
    <xf numFmtId="3" fontId="17" fillId="11" borderId="22" xfId="0" applyNumberFormat="1" applyFont="1" applyFill="1" applyBorder="1"/>
    <xf numFmtId="3" fontId="17" fillId="0" borderId="23" xfId="0" applyNumberFormat="1" applyFont="1" applyBorder="1"/>
    <xf numFmtId="0" fontId="21" fillId="11" borderId="0" xfId="0" applyFont="1" applyFill="1"/>
    <xf numFmtId="3" fontId="17" fillId="11" borderId="0" xfId="0" applyNumberFormat="1" applyFont="1" applyFill="1"/>
    <xf numFmtId="3" fontId="17" fillId="11" borderId="23" xfId="0" applyNumberFormat="1" applyFont="1" applyFill="1" applyBorder="1"/>
    <xf numFmtId="0" fontId="17" fillId="11" borderId="0" xfId="0" applyFont="1" applyFill="1"/>
    <xf numFmtId="0" fontId="21" fillId="0" borderId="20" xfId="0" applyFont="1" applyBorder="1"/>
    <xf numFmtId="3" fontId="17" fillId="0" borderId="20" xfId="0" applyNumberFormat="1" applyFont="1" applyBorder="1"/>
    <xf numFmtId="3" fontId="17" fillId="0" borderId="24" xfId="0" applyNumberFormat="1" applyFont="1" applyBorder="1"/>
    <xf numFmtId="0" fontId="37" fillId="16" borderId="25" xfId="0" applyFont="1" applyFill="1" applyBorder="1"/>
    <xf numFmtId="0" fontId="40" fillId="0" borderId="0" xfId="0" applyFont="1"/>
    <xf numFmtId="0" fontId="42" fillId="16" borderId="11" xfId="0" applyFont="1" applyFill="1" applyBorder="1" applyAlignment="1">
      <alignment horizontal="center" vertical="center"/>
    </xf>
    <xf numFmtId="0" fontId="42" fillId="16" borderId="12" xfId="0" applyFont="1" applyFill="1" applyBorder="1" applyAlignment="1">
      <alignment horizontal="center" vertical="center"/>
    </xf>
    <xf numFmtId="0" fontId="42" fillId="15" borderId="17" xfId="0" applyFont="1" applyFill="1" applyBorder="1" applyAlignment="1">
      <alignment horizontal="left" vertical="center"/>
    </xf>
    <xf numFmtId="3" fontId="43" fillId="16" borderId="0" xfId="0" applyNumberFormat="1" applyFont="1" applyFill="1"/>
    <xf numFmtId="165" fontId="43" fillId="16" borderId="14" xfId="1" applyNumberFormat="1" applyFont="1" applyFill="1" applyBorder="1"/>
    <xf numFmtId="165" fontId="43" fillId="16" borderId="0" xfId="1" applyNumberFormat="1" applyFont="1" applyFill="1" applyBorder="1"/>
    <xf numFmtId="0" fontId="42" fillId="15" borderId="18" xfId="0" applyFont="1" applyFill="1" applyBorder="1" applyAlignment="1">
      <alignment horizontal="left" vertical="center"/>
    </xf>
    <xf numFmtId="165" fontId="43" fillId="16" borderId="15" xfId="1" applyNumberFormat="1" applyFont="1" applyFill="1" applyBorder="1"/>
    <xf numFmtId="165" fontId="43" fillId="16" borderId="16" xfId="1" applyNumberFormat="1" applyFont="1" applyFill="1" applyBorder="1"/>
    <xf numFmtId="0" fontId="40" fillId="18" borderId="0" xfId="0" applyFont="1" applyFill="1"/>
    <xf numFmtId="0" fontId="1" fillId="18" borderId="0" xfId="0" applyFont="1" applyFill="1"/>
    <xf numFmtId="0" fontId="45" fillId="18" borderId="0" xfId="0" applyFont="1" applyFill="1"/>
    <xf numFmtId="0" fontId="0" fillId="0" borderId="27" xfId="0" applyBorder="1"/>
    <xf numFmtId="49" fontId="0" fillId="0" borderId="26" xfId="0" applyNumberFormat="1" applyBorder="1" applyAlignment="1">
      <alignment horizontal="left"/>
    </xf>
    <xf numFmtId="165" fontId="0" fillId="0" borderId="0" xfId="0" applyNumberFormat="1"/>
    <xf numFmtId="9" fontId="0" fillId="0" borderId="0" xfId="0" applyNumberFormat="1"/>
    <xf numFmtId="0" fontId="27" fillId="6" borderId="0" xfId="0" applyFont="1" applyFill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12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left" vertical="center"/>
    </xf>
    <xf numFmtId="0" fontId="40" fillId="17" borderId="0" xfId="0" applyFont="1" applyFill="1" applyAlignment="1">
      <alignment horizontal="left" vertical="center" wrapText="1"/>
    </xf>
    <xf numFmtId="0" fontId="38" fillId="17" borderId="0" xfId="0" applyFont="1" applyFill="1" applyAlignment="1">
      <alignment horizontal="left"/>
    </xf>
    <xf numFmtId="0" fontId="36" fillId="10" borderId="0" xfId="0" applyFont="1" applyFill="1" applyAlignment="1">
      <alignment horizontal="center" vertical="center"/>
    </xf>
  </cellXfs>
  <cellStyles count="17">
    <cellStyle name="Normalny" xfId="0" builtinId="0"/>
    <cellStyle name="Procentowy" xfId="1" builtinId="5"/>
    <cellStyle name="WhiteColumn" xfId="10" xr:uid="{27F98769-B3B3-486C-B628-7C66529D460B}"/>
    <cellStyle name="WhiteColumnHidden" xfId="11" xr:uid="{D9E87CD1-0E3E-4804-9D1C-BEE72B181F1D}"/>
    <cellStyle name="WhiteColumnSpacer" xfId="9" xr:uid="{1F17D200-DA9C-43A8-9C8C-D5A3960CC2CA}"/>
    <cellStyle name="WhiteData" xfId="14" xr:uid="{5DDBE5D5-B4E4-4E7B-AD4A-5CF3CA4FDA23}"/>
    <cellStyle name="WhiteHeaderDimension" xfId="7" xr:uid="{ACDF595E-FC21-40F7-A4F5-FF386CD57150}"/>
    <cellStyle name="WhiteHeaderElement" xfId="8" xr:uid="{4B9123D2-6617-414C-B397-DB1B1B9B0CA9}"/>
    <cellStyle name="WhiteHeaderSpacer" xfId="6" xr:uid="{91A7F096-E309-4F76-BD1B-ABB9BBE6B1A4}"/>
    <cellStyle name="WhiteRow" xfId="12" xr:uid="{F836E9FA-DD16-491B-AF5E-4D8C674F3231}"/>
    <cellStyle name="WhiteRowCollapsed" xfId="16" xr:uid="{9011B70B-B8DE-47AC-ADB0-5FDD149A8D7A}"/>
    <cellStyle name="WhiteRowExpanded" xfId="15" xr:uid="{1FE87CB8-60AE-4C94-B628-648B2E712097}"/>
    <cellStyle name="WhiteRowHidden" xfId="13" xr:uid="{119096FC-AFAC-4A2D-9DD6-88553F1B2BA5}"/>
    <cellStyle name="WhiteSource" xfId="5" xr:uid="{D46DE919-9523-49B1-9AE8-E3AEE330DF01}"/>
    <cellStyle name="WhiteSubTitle" xfId="4" xr:uid="{7A375D20-58FB-43A6-A1BE-5E23CEF739C7}"/>
    <cellStyle name="WhiteTitle" xfId="3" xr:uid="{E1C14B4E-4C6B-4F94-AC38-DB94E759C6A3}"/>
    <cellStyle name="WhiteTitleSpacer" xfId="2" xr:uid="{C172AD0F-C226-49FA-B9AB-BA9687C5873E}"/>
  </cellStyles>
  <dxfs count="10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b/>
        <charset val="238"/>
      </font>
    </dxf>
    <dxf>
      <fill>
        <patternFill patternType="solid">
          <bgColor rgb="FFFFFF00"/>
        </patternFill>
      </fill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font>
        <b/>
        <charset val="238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3" formatCode="0%"/>
    </dxf>
    <dxf>
      <numFmt numFmtId="165" formatCode="0.0%"/>
    </dxf>
    <dxf>
      <numFmt numFmtId="14" formatCode="0.00%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575"/>
      <color rgb="FFFFDDE1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[NordRetail_H1_2025_Report.xlsx]Rev_by_region!Tabela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Total</a:t>
            </a:r>
            <a:r>
              <a:rPr lang="pl-PL" baseline="0"/>
              <a:t> Revenue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Rev_by_region!$AD$3</c:f>
              <c:strCache>
                <c:ptCount val="1"/>
                <c:pt idx="0">
                  <c:v>Suma z SUM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C0-4FB0-91E0-04C1BD4036C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0-4FB0-91E0-04C1BD4036C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C0-4FB0-91E0-04C1BD4036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Rev_by_region!$AC$4:$AC$7</c:f>
              <c:strCache>
                <c:ptCount val="3"/>
                <c:pt idx="0">
                  <c:v>Revenue (DE)</c:v>
                </c:pt>
                <c:pt idx="1">
                  <c:v>Revenue (NL)</c:v>
                </c:pt>
                <c:pt idx="2">
                  <c:v>Revenue (PL)</c:v>
                </c:pt>
              </c:strCache>
            </c:strRef>
          </c:cat>
          <c:val>
            <c:numRef>
              <c:f>Rev_by_region!$AD$4:$AD$7</c:f>
              <c:numCache>
                <c:formatCode>#,##0</c:formatCode>
                <c:ptCount val="3"/>
                <c:pt idx="0">
                  <c:v>121089282.09999999</c:v>
                </c:pt>
                <c:pt idx="1">
                  <c:v>8839307.4600000009</c:v>
                </c:pt>
                <c:pt idx="2">
                  <c:v>8027534.2299999995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7-41D4-828B-515962495665}"/>
            </c:ext>
          </c:extLst>
        </c:ser>
        <c:ser>
          <c:idx val="1"/>
          <c:order val="1"/>
          <c:tx>
            <c:strRef>
              <c:f>Rev_by_region!$AE$3</c:f>
              <c:strCache>
                <c:ptCount val="1"/>
                <c:pt idx="0">
                  <c:v>Suma z SUM TOTAL2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AD-40D1-8DD7-56313DC3E16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AD-40D1-8DD7-56313DC3E16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AD-40D1-8DD7-56313DC3E16E}"/>
              </c:ext>
            </c:extLst>
          </c:dPt>
          <c:cat>
            <c:strRef>
              <c:f>Rev_by_region!$AC$4:$AC$7</c:f>
              <c:strCache>
                <c:ptCount val="3"/>
                <c:pt idx="0">
                  <c:v>Revenue (DE)</c:v>
                </c:pt>
                <c:pt idx="1">
                  <c:v>Revenue (NL)</c:v>
                </c:pt>
                <c:pt idx="2">
                  <c:v>Revenue (PL)</c:v>
                </c:pt>
              </c:strCache>
            </c:strRef>
          </c:cat>
          <c:val>
            <c:numRef>
              <c:f>Rev_by_region!$AE$4:$AE$7</c:f>
              <c:numCache>
                <c:formatCode>0.0%</c:formatCode>
                <c:ptCount val="3"/>
                <c:pt idx="0">
                  <c:v>0.87773763696292961</c:v>
                </c:pt>
                <c:pt idx="1">
                  <c:v>6.4073324308933172E-2</c:v>
                </c:pt>
                <c:pt idx="2">
                  <c:v>5.8189038728137202E-2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98-4490-B49D-CD2624F2B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-1" baseline="0">
                <a:solidFill>
                  <a:schemeClr val="bg1"/>
                </a:solidFill>
                <a:latin typeface="Calibri"/>
              </a:rPr>
              <a:t>Monthly Revenue — Act vs Budget vs 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Revenue Act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CHARTS!$B$4:$B$9</c:f>
              <c:numCache>
                <c:formatCode>#,##0</c:formatCode>
                <c:ptCount val="6"/>
                <c:pt idx="0">
                  <c:v>18270176.999999996</c:v>
                </c:pt>
                <c:pt idx="1">
                  <c:v>24091844.500000004</c:v>
                </c:pt>
                <c:pt idx="2">
                  <c:v>29060427.939999994</c:v>
                </c:pt>
                <c:pt idx="3">
                  <c:v>21989688.709999997</c:v>
                </c:pt>
                <c:pt idx="4">
                  <c:v>23404056.190000001</c:v>
                </c:pt>
                <c:pt idx="5">
                  <c:v>21139929.449999999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8DE-43CA-97AF-B445450561AA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Revenue Bud</c:v>
                </c:pt>
              </c:strCache>
            </c:strRef>
          </c:tx>
          <c:spPr>
            <a:ln w="349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CHARTS!$C$4:$C$9</c:f>
              <c:numCache>
                <c:formatCode>#,##0</c:formatCode>
                <c:ptCount val="6"/>
                <c:pt idx="0">
                  <c:v>18928135.072498478</c:v>
                </c:pt>
                <c:pt idx="1">
                  <c:v>24920142.093276463</c:v>
                </c:pt>
                <c:pt idx="2">
                  <c:v>33841465.42255</c:v>
                </c:pt>
                <c:pt idx="3">
                  <c:v>31628224.583339993</c:v>
                </c:pt>
                <c:pt idx="4">
                  <c:v>28396608.206160001</c:v>
                </c:pt>
                <c:pt idx="5">
                  <c:v>22853546.025970001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8DE-43CA-97AF-B445450561AA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Revenue PY</c:v>
                </c:pt>
              </c:strCache>
            </c:strRef>
          </c:tx>
          <c:spPr>
            <a:ln w="34925" cap="rnd">
              <a:solidFill>
                <a:schemeClr val="bg1">
                  <a:lumMod val="9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CHARTS!$D$4:$D$9</c:f>
              <c:numCache>
                <c:formatCode>#,##0</c:formatCode>
                <c:ptCount val="6"/>
                <c:pt idx="0">
                  <c:v>17902923.465115197</c:v>
                </c:pt>
                <c:pt idx="1">
                  <c:v>23598619.406511802</c:v>
                </c:pt>
                <c:pt idx="2">
                  <c:v>32077218.41</c:v>
                </c:pt>
                <c:pt idx="3">
                  <c:v>30007803.209999993</c:v>
                </c:pt>
                <c:pt idx="4">
                  <c:v>26992973.580000002</c:v>
                </c:pt>
                <c:pt idx="5">
                  <c:v>21786030.530000001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8DE-43CA-97AF-B445450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234575"/>
        <c:axId val="1282243695"/>
      </c:lineChart>
      <c:catAx>
        <c:axId val="128223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243695"/>
        <c:crosses val="autoZero"/>
        <c:auto val="1"/>
        <c:lblAlgn val="ctr"/>
        <c:lblOffset val="100"/>
        <c:noMultiLvlLbl val="0"/>
      </c:catAx>
      <c:valAx>
        <c:axId val="128224369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234575"/>
        <c:crosses val="autoZero"/>
        <c:crossBetween val="between"/>
      </c:valAx>
      <c:spPr>
        <a:noFill/>
        <a:ln>
          <a:solidFill>
            <a:srgbClr val="808080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-1" baseline="0">
                <a:solidFill>
                  <a:schemeClr val="bg1"/>
                </a:solidFill>
                <a:latin typeface="Calibri"/>
              </a:rPr>
              <a:t>Margin % Trends (Gross / Contribution / EBITDA)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9160694444444448E-2"/>
          <c:y val="0.10734550738681789"/>
          <c:w val="0.69003208333333332"/>
          <c:h val="0.86278349384629627"/>
        </c:manualLayout>
      </c:layout>
      <c:lineChart>
        <c:grouping val="standard"/>
        <c:varyColors val="0"/>
        <c:ser>
          <c:idx val="0"/>
          <c:order val="0"/>
          <c:tx>
            <c:strRef>
              <c:f>CHARTS!$G$3</c:f>
              <c:strCache>
                <c:ptCount val="1"/>
                <c:pt idx="0">
                  <c:v>Gross profit % Act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CHARTS!$G$4:$G$9</c:f>
              <c:numCache>
                <c:formatCode>0.0%</c:formatCode>
                <c:ptCount val="6"/>
                <c:pt idx="0">
                  <c:v>0.38804709338602394</c:v>
                </c:pt>
                <c:pt idx="1">
                  <c:v>0.38941423082500465</c:v>
                </c:pt>
                <c:pt idx="2">
                  <c:v>0.39371633619109131</c:v>
                </c:pt>
                <c:pt idx="3">
                  <c:v>0.39589160670623541</c:v>
                </c:pt>
                <c:pt idx="4">
                  <c:v>0.39790842797974774</c:v>
                </c:pt>
                <c:pt idx="5">
                  <c:v>0.39233102484450805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C8-40E8-9776-E30CF89695A0}"/>
            </c:ext>
          </c:extLst>
        </c:ser>
        <c:ser>
          <c:idx val="1"/>
          <c:order val="1"/>
          <c:tx>
            <c:strRef>
              <c:f>CHARTS!$H$3</c:f>
              <c:strCache>
                <c:ptCount val="1"/>
                <c:pt idx="0">
                  <c:v>Gross profit % Bud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CHARTS!$H$4:$H$9</c:f>
              <c:numCache>
                <c:formatCode>0.0%</c:formatCode>
                <c:ptCount val="6"/>
                <c:pt idx="0">
                  <c:v>0.3988176412576373</c:v>
                </c:pt>
                <c:pt idx="1">
                  <c:v>0.40045798235806329</c:v>
                </c:pt>
                <c:pt idx="2">
                  <c:v>0.39939364197591398</c:v>
                </c:pt>
                <c:pt idx="3">
                  <c:v>0.4000570971396572</c:v>
                </c:pt>
                <c:pt idx="4">
                  <c:v>0.39942489894743927</c:v>
                </c:pt>
                <c:pt idx="5">
                  <c:v>0.39926530407257582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5C8-40E8-9776-E30CF89695A0}"/>
            </c:ext>
          </c:extLst>
        </c:ser>
        <c:ser>
          <c:idx val="2"/>
          <c:order val="2"/>
          <c:tx>
            <c:strRef>
              <c:f>CHARTS!$I$3</c:f>
              <c:strCache>
                <c:ptCount val="1"/>
                <c:pt idx="0">
                  <c:v>Contribution profit % Act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CHARTS!$I$4:$I$9</c:f>
              <c:numCache>
                <c:formatCode>0.0%</c:formatCode>
                <c:ptCount val="6"/>
                <c:pt idx="0">
                  <c:v>0.10516047220462767</c:v>
                </c:pt>
                <c:pt idx="1">
                  <c:v>0.10886367061895669</c:v>
                </c:pt>
                <c:pt idx="2">
                  <c:v>0.1223973779771752</c:v>
                </c:pt>
                <c:pt idx="3">
                  <c:v>0.12671120172024869</c:v>
                </c:pt>
                <c:pt idx="4">
                  <c:v>0.12883480066238251</c:v>
                </c:pt>
                <c:pt idx="5">
                  <c:v>0.12488072044226201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5C8-40E8-9776-E30CF89695A0}"/>
            </c:ext>
          </c:extLst>
        </c:ser>
        <c:ser>
          <c:idx val="3"/>
          <c:order val="3"/>
          <c:tx>
            <c:strRef>
              <c:f>CHARTS!$J$3</c:f>
              <c:strCache>
                <c:ptCount val="1"/>
                <c:pt idx="0">
                  <c:v>EBITDA% Act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CHARTS!$J$4:$J$9</c:f>
              <c:numCache>
                <c:formatCode>0.0%</c:formatCode>
                <c:ptCount val="6"/>
                <c:pt idx="0">
                  <c:v>-2.4726800706512581E-2</c:v>
                </c:pt>
                <c:pt idx="1">
                  <c:v>1.1038976823595651E-2</c:v>
                </c:pt>
                <c:pt idx="2">
                  <c:v>3.7659381539286788E-2</c:v>
                </c:pt>
                <c:pt idx="3">
                  <c:v>1.7910025438842958E-2</c:v>
                </c:pt>
                <c:pt idx="4">
                  <c:v>3.0787506025145298E-2</c:v>
                </c:pt>
                <c:pt idx="5">
                  <c:v>1.5643414786581201E-2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5C8-40E8-9776-E30CF89695A0}"/>
            </c:ext>
          </c:extLst>
        </c:ser>
        <c:ser>
          <c:idx val="4"/>
          <c:order val="4"/>
          <c:tx>
            <c:strRef>
              <c:f>CHARTS!$K$3</c:f>
              <c:strCache>
                <c:ptCount val="1"/>
                <c:pt idx="0">
                  <c:v>EBITDA% Bud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CHARTS!$K$4:$K$9</c:f>
              <c:numCache>
                <c:formatCode>0.0%</c:formatCode>
                <c:ptCount val="6"/>
                <c:pt idx="0">
                  <c:v>8.3320948423051284E-3</c:v>
                </c:pt>
                <c:pt idx="1">
                  <c:v>4.2942996278739487E-2</c:v>
                </c:pt>
                <c:pt idx="2">
                  <c:v>6.826194245791764E-2</c:v>
                </c:pt>
                <c:pt idx="3">
                  <c:v>6.6369092478735486E-2</c:v>
                </c:pt>
                <c:pt idx="4">
                  <c:v>6.1861940560583549E-2</c:v>
                </c:pt>
                <c:pt idx="5">
                  <c:v>4.4951350848025054E-2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5C8-40E8-9776-E30CF896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234575"/>
        <c:axId val="1282243695"/>
      </c:lineChart>
      <c:catAx>
        <c:axId val="128223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243695"/>
        <c:crosses val="autoZero"/>
        <c:auto val="1"/>
        <c:lblAlgn val="ctr"/>
        <c:lblOffset val="100"/>
        <c:noMultiLvlLbl val="0"/>
      </c:catAx>
      <c:valAx>
        <c:axId val="128224369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2234575"/>
        <c:crosses val="autoZero"/>
        <c:crossBetween val="between"/>
        <c:majorUnit val="2.5000000000000005E-2"/>
      </c:valAx>
      <c:spPr>
        <a:noFill/>
        <a:ln>
          <a:solidFill>
            <a:srgbClr val="808080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Monthly EBITDA — Act vs Budget vs 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CHARTS!$N$3</c:f>
              <c:strCache>
                <c:ptCount val="1"/>
                <c:pt idx="0">
                  <c:v>EBITDA Act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CHARTS!$M$4:$M$9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CHARTS!$N$4:$N$9</c:f>
              <c:numCache>
                <c:formatCode>#,##0</c:formatCode>
                <c:ptCount val="6"/>
                <c:pt idx="0">
                  <c:v>-451763.02555170981</c:v>
                </c:pt>
                <c:pt idx="1">
                  <c:v>265949.31307317037</c:v>
                </c:pt>
                <c:pt idx="2">
                  <c:v>1094397.7434874098</c:v>
                </c:pt>
                <c:pt idx="3">
                  <c:v>393835.88418833772</c:v>
                </c:pt>
                <c:pt idx="4">
                  <c:v>720552.52096246416</c:v>
                </c:pt>
                <c:pt idx="5">
                  <c:v>330700.68494541338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F-4233-9FB8-CD49A8EB32E6}"/>
            </c:ext>
          </c:extLst>
        </c:ser>
        <c:ser>
          <c:idx val="1"/>
          <c:order val="1"/>
          <c:tx>
            <c:strRef>
              <c:f>CHARTS!$O$3</c:f>
              <c:strCache>
                <c:ptCount val="1"/>
                <c:pt idx="0">
                  <c:v>EBITDA Bud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CHARTS!$M$4:$M$9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CHARTS!$O$4:$O$9</c:f>
              <c:numCache>
                <c:formatCode>#,##0</c:formatCode>
                <c:ptCount val="6"/>
                <c:pt idx="0">
                  <c:v>157711.01661201939</c:v>
                </c:pt>
                <c:pt idx="1">
                  <c:v>1070145.5691772304</c:v>
                </c:pt>
                <c:pt idx="2">
                  <c:v>2310084.1653657174</c:v>
                </c:pt>
                <c:pt idx="3">
                  <c:v>2099136.5623099073</c:v>
                </c:pt>
                <c:pt idx="4">
                  <c:v>1756669.288971649</c:v>
                </c:pt>
                <c:pt idx="5">
                  <c:v>1027297.7655348661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F-4233-9FB8-CD49A8EB32E6}"/>
            </c:ext>
          </c:extLst>
        </c:ser>
        <c:ser>
          <c:idx val="2"/>
          <c:order val="2"/>
          <c:tx>
            <c:strRef>
              <c:f>CHARTS!$P$3</c:f>
              <c:strCache>
                <c:ptCount val="1"/>
                <c:pt idx="0">
                  <c:v>EBITDA PY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CHARTS!$M$4:$M$9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CHARTS!$P$4:$P$9</c:f>
              <c:numCache>
                <c:formatCode>#,##0</c:formatCode>
                <c:ptCount val="6"/>
                <c:pt idx="0">
                  <c:v>13028.879961256869</c:v>
                </c:pt>
                <c:pt idx="1">
                  <c:v>873043.62891762005</c:v>
                </c:pt>
                <c:pt idx="2">
                  <c:v>2110234.731094724</c:v>
                </c:pt>
                <c:pt idx="3">
                  <c:v>2009575.9696349567</c:v>
                </c:pt>
                <c:pt idx="4">
                  <c:v>1600280.8199710157</c:v>
                </c:pt>
                <c:pt idx="5">
                  <c:v>839256.7148644221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F-4233-9FB8-CD49A8EB3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609071"/>
        <c:axId val="1388621071"/>
      </c:barChart>
      <c:catAx>
        <c:axId val="138860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621071"/>
        <c:crosses val="autoZero"/>
        <c:auto val="1"/>
        <c:lblAlgn val="ctr"/>
        <c:lblOffset val="100"/>
        <c:noMultiLvlLbl val="0"/>
      </c:catAx>
      <c:valAx>
        <c:axId val="138862107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609071"/>
        <c:crosses val="autoZero"/>
        <c:crossBetween val="between"/>
        <c:majorUnit val="250000"/>
        <c:minorUnit val="5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YTD Cost Structure — Act vs Budget vs PY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Act 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CHARTS!$A$13:$A$22</c:f>
              <c:strCache>
                <c:ptCount val="10"/>
                <c:pt idx="0">
                  <c:v>COGS</c:v>
                </c:pt>
                <c:pt idx="1">
                  <c:v>Payment</c:v>
                </c:pt>
                <c:pt idx="2">
                  <c:v>Warehouse </c:v>
                </c:pt>
                <c:pt idx="3">
                  <c:v>Distribution</c:v>
                </c:pt>
                <c:pt idx="4">
                  <c:v>LABOUR</c:v>
                </c:pt>
                <c:pt idx="5">
                  <c:v>Marketing</c:v>
                </c:pt>
                <c:pt idx="6">
                  <c:v>Rent </c:v>
                </c:pt>
                <c:pt idx="7">
                  <c:v>Travel </c:v>
                </c:pt>
                <c:pt idx="8">
                  <c:v>Consulting</c:v>
                </c:pt>
                <c:pt idx="9">
                  <c:v>Insurances</c:v>
                </c:pt>
              </c:strCache>
            </c:strRef>
          </c:cat>
          <c:val>
            <c:numRef>
              <c:f>CHARTS!$B$13:$B$22</c:f>
              <c:numCache>
                <c:formatCode>#,##0</c:formatCode>
                <c:ptCount val="10"/>
                <c:pt idx="0">
                  <c:v>-83731107.810153112</c:v>
                </c:pt>
                <c:pt idx="1">
                  <c:v>-3079470.6885105427</c:v>
                </c:pt>
                <c:pt idx="2">
                  <c:v>-13273834.44339384</c:v>
                </c:pt>
                <c:pt idx="3">
                  <c:v>-21329197.184715871</c:v>
                </c:pt>
                <c:pt idx="4">
                  <c:v>-9527315.8724066876</c:v>
                </c:pt>
                <c:pt idx="5">
                  <c:v>-3636847.2507738476</c:v>
                </c:pt>
                <c:pt idx="6">
                  <c:v>-580666.73979600007</c:v>
                </c:pt>
                <c:pt idx="7">
                  <c:v>-29259.078849000005</c:v>
                </c:pt>
                <c:pt idx="8">
                  <c:v>-91336.748481000031</c:v>
                </c:pt>
                <c:pt idx="9">
                  <c:v>-323414.85181500006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7B-48B6-A6DA-CB9038B81E0F}"/>
            </c:ext>
          </c:extLst>
        </c:ser>
        <c:ser>
          <c:idx val="1"/>
          <c:order val="1"/>
          <c:tx>
            <c:strRef>
              <c:f>CHARTS!$C$12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CHARTS!$A$13:$A$22</c:f>
              <c:strCache>
                <c:ptCount val="10"/>
                <c:pt idx="0">
                  <c:v>COGS</c:v>
                </c:pt>
                <c:pt idx="1">
                  <c:v>Payment</c:v>
                </c:pt>
                <c:pt idx="2">
                  <c:v>Warehouse </c:v>
                </c:pt>
                <c:pt idx="3">
                  <c:v>Distribution</c:v>
                </c:pt>
                <c:pt idx="4">
                  <c:v>LABOUR</c:v>
                </c:pt>
                <c:pt idx="5">
                  <c:v>Marketing</c:v>
                </c:pt>
                <c:pt idx="6">
                  <c:v>Rent </c:v>
                </c:pt>
                <c:pt idx="7">
                  <c:v>Travel </c:v>
                </c:pt>
                <c:pt idx="8">
                  <c:v>Consulting</c:v>
                </c:pt>
                <c:pt idx="9">
                  <c:v>Insurances</c:v>
                </c:pt>
              </c:strCache>
            </c:strRef>
          </c:cat>
          <c:val>
            <c:numRef>
              <c:f>CHARTS!$C$13:$C$22</c:f>
              <c:numCache>
                <c:formatCode>#,##0</c:formatCode>
                <c:ptCount val="10"/>
                <c:pt idx="0">
                  <c:v>-96403675.192228049</c:v>
                </c:pt>
                <c:pt idx="1">
                  <c:v>-3613210.999882346</c:v>
                </c:pt>
                <c:pt idx="2">
                  <c:v>-13439458.566757096</c:v>
                </c:pt>
                <c:pt idx="3">
                  <c:v>-24174954.809380297</c:v>
                </c:pt>
                <c:pt idx="4">
                  <c:v>-9238451.3898776099</c:v>
                </c:pt>
                <c:pt idx="5">
                  <c:v>-4208543.5805292074</c:v>
                </c:pt>
                <c:pt idx="6">
                  <c:v>-592019.82582718262</c:v>
                </c:pt>
                <c:pt idx="7">
                  <c:v>-46990.113993077081</c:v>
                </c:pt>
                <c:pt idx="8">
                  <c:v>-97242.740452000027</c:v>
                </c:pt>
                <c:pt idx="9">
                  <c:v>-332529.81689668132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D7B-48B6-A6DA-CB9038B81E0F}"/>
            </c:ext>
          </c:extLst>
        </c:ser>
        <c:ser>
          <c:idx val="2"/>
          <c:order val="2"/>
          <c:tx>
            <c:strRef>
              <c:f>CHARTS!$D$12</c:f>
              <c:strCache>
                <c:ptCount val="1"/>
                <c:pt idx="0">
                  <c:v>PY 2024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CHARTS!$A$13:$A$22</c:f>
              <c:strCache>
                <c:ptCount val="10"/>
                <c:pt idx="0">
                  <c:v>COGS</c:v>
                </c:pt>
                <c:pt idx="1">
                  <c:v>Payment</c:v>
                </c:pt>
                <c:pt idx="2">
                  <c:v>Warehouse </c:v>
                </c:pt>
                <c:pt idx="3">
                  <c:v>Distribution</c:v>
                </c:pt>
                <c:pt idx="4">
                  <c:v>LABOUR</c:v>
                </c:pt>
                <c:pt idx="5">
                  <c:v>Marketing</c:v>
                </c:pt>
                <c:pt idx="6">
                  <c:v>Rent </c:v>
                </c:pt>
                <c:pt idx="7">
                  <c:v>Travel </c:v>
                </c:pt>
                <c:pt idx="8">
                  <c:v>Consulting</c:v>
                </c:pt>
                <c:pt idx="9">
                  <c:v>Insurances</c:v>
                </c:pt>
              </c:strCache>
            </c:strRef>
          </c:cat>
          <c:val>
            <c:numRef>
              <c:f>CHARTS!$D$13:$D$22</c:f>
              <c:numCache>
                <c:formatCode>#,##0</c:formatCode>
                <c:ptCount val="10"/>
                <c:pt idx="0">
                  <c:v>-93211921.837408021</c:v>
                </c:pt>
                <c:pt idx="1">
                  <c:v>-3253387.1888767583</c:v>
                </c:pt>
                <c:pt idx="2">
                  <c:v>-11867421.762018304</c:v>
                </c:pt>
                <c:pt idx="3">
                  <c:v>-22274812.902849242</c:v>
                </c:pt>
                <c:pt idx="4">
                  <c:v>-9317889.7106227968</c:v>
                </c:pt>
                <c:pt idx="5">
                  <c:v>-3933218.2995600067</c:v>
                </c:pt>
                <c:pt idx="6">
                  <c:v>-586158.24339325016</c:v>
                </c:pt>
                <c:pt idx="7">
                  <c:v>-40591.827226500005</c:v>
                </c:pt>
                <c:pt idx="8">
                  <c:v>-118051.02151700003</c:v>
                </c:pt>
                <c:pt idx="9">
                  <c:v>-316695.06371112505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D7B-48B6-A6DA-CB9038B81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8609071"/>
        <c:axId val="1388621071"/>
      </c:barChart>
      <c:catAx>
        <c:axId val="13886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621071"/>
        <c:crosses val="autoZero"/>
        <c:auto val="1"/>
        <c:lblAlgn val="ctr"/>
        <c:lblOffset val="100"/>
        <c:noMultiLvlLbl val="0"/>
      </c:catAx>
      <c:valAx>
        <c:axId val="1388621071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388609071"/>
        <c:crosses val="autoZero"/>
        <c:crossBetween val="between"/>
        <c:majorUnit val="250000"/>
        <c:minorUnit val="5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590551</xdr:colOff>
      <xdr:row>8</xdr:row>
      <xdr:rowOff>18683</xdr:rowOff>
    </xdr:from>
    <xdr:to>
      <xdr:col>33</xdr:col>
      <xdr:colOff>329712</xdr:colOff>
      <xdr:row>22</xdr:row>
      <xdr:rowOff>94883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4846AFE-544B-F844-313F-6D3198A9B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14079</xdr:rowOff>
    </xdr:from>
    <xdr:to>
      <xdr:col>7</xdr:col>
      <xdr:colOff>911678</xdr:colOff>
      <xdr:row>45</xdr:row>
      <xdr:rowOff>136071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1B882E5-F8F1-039E-A6F4-504C03CD4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896711</xdr:colOff>
      <xdr:row>23</xdr:row>
      <xdr:rowOff>19048</xdr:rowOff>
    </xdr:from>
    <xdr:to>
      <xdr:col>16</xdr:col>
      <xdr:colOff>0</xdr:colOff>
      <xdr:row>45</xdr:row>
      <xdr:rowOff>136071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1EA703E-375F-45A9-B47C-7F656B843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</xdr:colOff>
      <xdr:row>45</xdr:row>
      <xdr:rowOff>101564</xdr:rowOff>
    </xdr:from>
    <xdr:to>
      <xdr:col>7</xdr:col>
      <xdr:colOff>978013</xdr:colOff>
      <xdr:row>66</xdr:row>
      <xdr:rowOff>59531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089A642-A119-6C9E-DBBF-88E5948F4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975335</xdr:colOff>
      <xdr:row>45</xdr:row>
      <xdr:rowOff>50815</xdr:rowOff>
    </xdr:from>
    <xdr:to>
      <xdr:col>15</xdr:col>
      <xdr:colOff>675253</xdr:colOff>
      <xdr:row>66</xdr:row>
      <xdr:rowOff>11906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60C5B8D-6F2B-48A6-8B96-9C105117B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W" refreshedDate="46127.596902777776" createdVersion="8" refreshedVersion="8" minRefreshableVersion="3" recordCount="465" xr:uid="{0BB6E337-6FBD-4FDD-AAB1-78E96D640F17}">
  <cacheSource type="worksheet">
    <worksheetSource name="tActuals_1"/>
  </cacheSource>
  <cacheFields count="6">
    <cacheField name="Year" numFmtId="0">
      <sharedItems containsSemiMixedTypes="0" containsString="0" containsNumber="1" containsInteger="1" minValue="2024" maxValue="2025"/>
    </cacheField>
    <cacheField name="Account" numFmtId="0">
      <sharedItems containsSemiMixedTypes="0" containsString="0" containsNumber="1" containsInteger="1" minValue="2003100005" maxValue="2690200010"/>
    </cacheField>
    <cacheField name="Year_month" numFmtId="0">
      <sharedItems count="19">
        <s v="2024.01"/>
        <s v="2024.02"/>
        <s v="2024.03"/>
        <s v="2024.04"/>
        <s v="2024.05"/>
        <s v="2024.06"/>
        <s v="2024.07"/>
        <s v="2024.08"/>
        <s v="2024.09"/>
        <s v="2024.10"/>
        <s v="2024.11"/>
        <s v="2024.12"/>
        <s v="2025.01"/>
        <s v="2025.02"/>
        <s v="2025.03"/>
        <s v="2025.04"/>
        <s v="2025.05"/>
        <s v="2025.06"/>
        <e v="#N/A" u="1"/>
      </sharedItems>
    </cacheField>
    <cacheField name="Month" numFmtId="0">
      <sharedItems/>
    </cacheField>
    <cacheField name="Account_description" numFmtId="0">
      <sharedItems count="40">
        <s v="Revenue (DE)"/>
        <s v="Revenue (PL)"/>
        <s v="Revenue (NL)"/>
        <s v="COGS (DE)"/>
        <s v="COGS (PL)"/>
        <s v="COGS (NL)"/>
        <s v="COGS (Others)"/>
        <s v="Payment (PayPal)"/>
        <s v="Payment (Credit Card)"/>
        <s v="Warehouse"/>
        <s v="Distribution (Different Carriers)"/>
        <s v="Distribution (Package Material)"/>
        <s v="Labour (Salaries)"/>
        <s v="Labour (Bonuses)"/>
        <s v="Labour (Social Contributions)"/>
        <s v="Marketing (Google)"/>
        <s v="Marketing (Meta)"/>
        <s v="Marketing (Flyers)"/>
        <s v="Marketing (TV)"/>
        <s v="Marketing (Print)"/>
        <s v="Rent"/>
        <s v="Consulting (BCG, KPMG, etc.)"/>
        <s v="Consulting (for different IT-Tools)"/>
        <s v="Travel"/>
        <s v="Insurance (Cyber Security)"/>
        <s v="Insurance (Legal Protection)"/>
        <s v="Insurance (Others)"/>
        <s v="REVENUE" f="1"/>
        <s v="TOTAL COGS" f="1"/>
        <s v="GROSS PROFIT" f="1"/>
        <s v="VARIABLE COSTS" f="1"/>
        <s v="CONTRIBUTION PROFIT" f="1"/>
        <s v="LABOUR" f="1"/>
        <s v="MARKETING" f="1"/>
        <s v="CONSULTING" f="1"/>
        <s v="INSURANCE" f="1"/>
        <s v="OPEX" f="1"/>
        <s v="EBITDA" f="1"/>
        <s v="PAYMENT" f="1"/>
        <s v="DISTRIBUTION" f="1"/>
      </sharedItems>
    </cacheField>
    <cacheField name="Value" numFmtId="4">
      <sharedItems containsSemiMixedTypes="0" containsString="0" containsNumber="1" minValue="-18480801.116032291" maxValue="30454508.600000001"/>
    </cacheField>
  </cacheFields>
  <calculatedItems count="13">
    <calculatedItem formula="Account_description['Revenue (DE)']+Account_description['Revenue (NL)']+Account_description['Revenue (PL)']">
      <pivotArea cacheIndex="1" outline="0" fieldPosition="0">
        <references count="1">
          <reference field="4" count="1">
            <x v="27"/>
          </reference>
        </references>
      </pivotArea>
    </calculatedItem>
    <calculatedItem formula="Account_description['COGS (DE)']+Account_description['COGS (NL)']+Account_description['COGS (PL)']+Account_description['COGS (Others)']">
      <pivotArea cacheIndex="1" outline="0" fieldPosition="0">
        <references count="1">
          <reference field="4" count="1">
            <x v="28"/>
          </reference>
        </references>
      </pivotArea>
    </calculatedItem>
    <calculatedItem formula="Account_description[REVENUE]+Account_description['TOTAL COGS']">
      <pivotArea cacheIndex="1" outline="0" fieldPosition="0">
        <references count="1">
          <reference field="4" count="1">
            <x v="29"/>
          </reference>
        </references>
      </pivotArea>
    </calculatedItem>
    <calculatedItem formula="Account_description['Payment (Credit Card)']+Account_description['Payment (PayPal)']+Account_description[Warehouse]+Account_description['Distribution (Different Carriers)']+Account_description['Distribution (Package Material)']">
      <pivotArea cacheIndex="1" outline="0" fieldPosition="0">
        <references count="1">
          <reference field="4" count="1">
            <x v="30"/>
          </reference>
        </references>
      </pivotArea>
    </calculatedItem>
    <calculatedItem formula="Account_description['GROSS PROFIT']+Account_description['VARIABLE COSTS']">
      <pivotArea cacheIndex="1" outline="0" fieldPosition="0">
        <references count="1">
          <reference field="4" count="1">
            <x v="31"/>
          </reference>
        </references>
      </pivotArea>
    </calculatedItem>
    <calculatedItem formula="Account_description['Labour (Bonuses)']+Account_description['Labour (Salaries)']+Account_description['Labour (Social Contributions)']">
      <pivotArea cacheIndex="1" outline="0" fieldPosition="0">
        <references count="1">
          <reference field="4" count="1">
            <x v="32"/>
          </reference>
        </references>
      </pivotArea>
    </calculatedItem>
    <calculatedItem formula="Account_description['Marketing (Flyers)']+Account_description['Marketing (Google)']+Account_description['Marketing (Meta)']+Account_description['Marketing (Print)']+Account_description['Marketing (TV)']">
      <pivotArea cacheIndex="1" outline="0" fieldPosition="0">
        <references count="1">
          <reference field="4" count="1">
            <x v="33"/>
          </reference>
        </references>
      </pivotArea>
    </calculatedItem>
    <calculatedItem formula="Account_description['Consulting (BCG, KPMG, etc.)']+Account_description['Consulting (for different IT-Tools)']">
      <pivotArea cacheIndex="1" outline="0" fieldPosition="0">
        <references count="1">
          <reference field="4" count="1">
            <x v="34"/>
          </reference>
        </references>
      </pivotArea>
    </calculatedItem>
    <calculatedItem formula="Account_description['Insurance (Cyber Security)']+Account_description['Insurance (Legal Protection)']+Account_description['Insurance (Others)']">
      <pivotArea cacheIndex="1" outline="0" fieldPosition="0">
        <references count="1">
          <reference field="4" count="1">
            <x v="35"/>
          </reference>
        </references>
      </pivotArea>
    </calculatedItem>
    <calculatedItem formula="Account_description[LABOUR]+Account_description[MARKETING]+Account_description[Rent]+Account_description[Travel]+Account_description[CONSULTING]+Account_description[INSURANCE]">
      <pivotArea cacheIndex="1" outline="0" fieldPosition="0">
        <references count="1">
          <reference field="4" count="1">
            <x v="36"/>
          </reference>
        </references>
      </pivotArea>
    </calculatedItem>
    <calculatedItem formula="Account_description['CONTRIBUTION PROFIT']+Account_description[OPEX]">
      <pivotArea cacheIndex="1" outline="0" fieldPosition="0">
        <references count="1">
          <reference field="4" count="1">
            <x v="37"/>
          </reference>
        </references>
      </pivotArea>
    </calculatedItem>
    <calculatedItem formula="Account_description['Payment (Credit Card)']+Account_description['Payment (PayPal)']">
      <pivotArea cacheIndex="1" outline="0" fieldPosition="0">
        <references count="1">
          <reference field="4" count="1">
            <x v="38"/>
          </reference>
        </references>
      </pivotArea>
    </calculatedItem>
    <calculatedItem formula="Account_description['Distribution (Different Carriers)']+Account_description['Distribution (Package Material)']">
      <pivotArea cacheIndex="1" outline="0" fieldPosition="0">
        <references count="1">
          <reference field="4" count="1">
            <x v="3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W" refreshedDate="46127.596903124999" createdVersion="8" refreshedVersion="8" minRefreshableVersion="3" recordCount="54" xr:uid="{8DA40447-9865-4F9C-A190-3F551F6D4B01}">
  <cacheSource type="worksheet">
    <worksheetSource name="tActuals7"/>
  </cacheSource>
  <cacheFields count="22"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Account" numFmtId="49">
      <sharedItems containsSemiMixedTypes="0" containsString="0" containsNumber="1" containsInteger="1" minValue="2003100005" maxValue="2690200010"/>
    </cacheField>
    <cacheField name="January" numFmtId="4">
      <sharedItems containsSemiMixedTypes="0" containsString="0" containsNumber="1" minValue="-9336788.7345072329" maxValue="15253265.183500798"/>
    </cacheField>
    <cacheField name="February" numFmtId="4">
      <sharedItems containsSemiMixedTypes="0" containsString="0" containsNumber="1" minValue="-12888477.307886396" maxValue="21088785.627172202"/>
    </cacheField>
    <cacheField name="March" numFmtId="4">
      <sharedItems containsSemiMixedTypes="0" containsString="0" containsNumber="1" minValue="-17560389.519540392" maxValue="28741335.630000003"/>
    </cacheField>
    <cacheField name="April" numFmtId="4">
      <sharedItems containsSemiMixedTypes="0" containsString="0" containsNumber="1" minValue="-16154015.034733448" maxValue="26580932.569999997"/>
    </cacheField>
    <cacheField name="May" numFmtId="4">
      <sharedItems containsSemiMixedTypes="0" containsString="0" containsNumber="1" minValue="-14572287.713533852" maxValue="23988357.32"/>
    </cacheField>
    <cacheField name="June" numFmtId="4">
      <sharedItems containsSemiMixedTypes="0" containsString="0" containsNumber="1" minValue="-11649164.578394977" maxValue="19024409.09"/>
    </cacheField>
    <cacheField name="July" numFmtId="4">
      <sharedItems containsSemiMixedTypes="0" containsString="0" containsNumber="1" minValue="-8686540.3381481916" maxValue="14219294.350000001"/>
    </cacheField>
    <cacheField name="August" numFmtId="4">
      <sharedItems containsSemiMixedTypes="0" containsString="0" containsNumber="1" minValue="-10685746.351340942" maxValue="17479568.300000001"/>
    </cacheField>
    <cacheField name="September" numFmtId="4">
      <sharedItems containsSemiMixedTypes="0" containsString="0" containsNumber="1" minValue="-18480801.116032291" maxValue="30454508.600000001"/>
    </cacheField>
    <cacheField name="October" numFmtId="4">
      <sharedItems containsSemiMixedTypes="0" containsString="0" containsNumber="1" minValue="-16614971.979088241" maxValue="27409176.349999998"/>
    </cacheField>
    <cacheField name="November" numFmtId="4">
      <sharedItems containsSemiMixedTypes="0" containsString="0" containsNumber="1" minValue="-18080349.897248216" maxValue="29731107.890000001"/>
    </cacheField>
    <cacheField name="December" numFmtId="4">
      <sharedItems containsSemiMixedTypes="0" containsString="0" containsNumber="1" minValue="-17253623.790924061" maxValue="28260518.369999997"/>
    </cacheField>
    <cacheField name="January1" numFmtId="4">
      <sharedItems containsSemiMixedTypes="0" containsString="0" containsNumber="1" minValue="-9511517.2004292104" maxValue="15587141.759999998"/>
    </cacheField>
    <cacheField name="February1" numFmtId="4">
      <sharedItems containsSemiMixedTypes="0" containsString="0" containsNumber="1" minValue="-13135651.094679004" maxValue="21550395.090000004"/>
    </cacheField>
    <cacheField name="March1" numFmtId="4">
      <sharedItems containsSemiMixedTypes="0" containsString="0" containsNumber="1" minValue="-15677777.382166883" maxValue="25921509.449999996"/>
    </cacheField>
    <cacheField name="April1" numFmtId="4">
      <sharedItems containsSemiMixedTypes="0" containsString="0" containsNumber="1" minValue="-11529761.10350487" maxValue="19150184.419999998"/>
    </cacheField>
    <cacheField name="May1" numFmtId="4">
      <sharedItems containsSemiMixedTypes="0" containsString="0" containsNumber="1" minValue="-12207980.403199045" maxValue="20358143.84"/>
    </cacheField>
    <cacheField name="June1" numFmtId="4">
      <sharedItems containsSemiMixedTypes="0" containsString="0" containsNumber="1" minValue="-11216653.512991706" maxValue="18521907.539999999"/>
    </cacheField>
    <cacheField name="SUM TOTAL" numFmtId="4">
      <sharedItems containsSemiMixedTypes="0" containsString="0" containsNumber="1" minValue="-171963156.36137822" maxValue="282231259.28067303"/>
    </cacheField>
    <cacheField name="Kolumna1" numFmtId="4">
      <sharedItems count="27">
        <s v="Revenue (DE)"/>
        <s v="Revenue (PL)"/>
        <s v="Revenue (NL)"/>
        <s v="COGS (DE)"/>
        <s v="COGS (PL)"/>
        <s v="COGS (NL)"/>
        <s v="COGS (Others)"/>
        <s v="Payment (PayPal)"/>
        <s v="Payment (Credit Card)"/>
        <s v="Warehouse"/>
        <s v="Distribution (Different Carriers)"/>
        <s v="Distribution (Package Material)"/>
        <s v="Labour (Salaries)"/>
        <s v="Labour (Bonuses)"/>
        <s v="Labour (Social Contributions)"/>
        <s v="Marketing (Google)"/>
        <s v="Marketing (Meta)"/>
        <s v="Marketing (Flyers)"/>
        <s v="Marketing (TV)"/>
        <s v="Marketing (Print)"/>
        <s v="Rent"/>
        <s v="Consulting (BCG, KPMG, etc.)"/>
        <s v="Consulting (for different IT-Tools)"/>
        <s v="Travel"/>
        <s v="Insurance (Cyber Security)"/>
        <s v="Insurance (Legal Protection)"/>
        <s v="Insurance (Other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5">
  <r>
    <n v="2024"/>
    <n v="2003100005"/>
    <x v="0"/>
    <s v="January"/>
    <x v="0"/>
    <n v="15253265.183500798"/>
  </r>
  <r>
    <n v="2024"/>
    <n v="2003100005"/>
    <x v="1"/>
    <s v="February"/>
    <x v="0"/>
    <n v="21088785.627172202"/>
  </r>
  <r>
    <n v="2024"/>
    <n v="2003100005"/>
    <x v="2"/>
    <s v="March"/>
    <x v="0"/>
    <n v="28741335.630000003"/>
  </r>
  <r>
    <n v="2024"/>
    <n v="2003100005"/>
    <x v="3"/>
    <s v="April"/>
    <x v="0"/>
    <n v="26580932.569999997"/>
  </r>
  <r>
    <n v="2024"/>
    <n v="2003100005"/>
    <x v="4"/>
    <s v="May"/>
    <x v="0"/>
    <n v="23988357.32"/>
  </r>
  <r>
    <n v="2024"/>
    <n v="2003100005"/>
    <x v="5"/>
    <s v="June"/>
    <x v="0"/>
    <n v="19024409.09"/>
  </r>
  <r>
    <n v="2024"/>
    <n v="2003100005"/>
    <x v="6"/>
    <s v="July"/>
    <x v="0"/>
    <n v="14219294.350000001"/>
  </r>
  <r>
    <n v="2024"/>
    <n v="2003100005"/>
    <x v="7"/>
    <s v="August"/>
    <x v="0"/>
    <n v="17479568.300000001"/>
  </r>
  <r>
    <n v="2024"/>
    <n v="2003100005"/>
    <x v="8"/>
    <s v="September"/>
    <x v="0"/>
    <n v="30454508.600000001"/>
  </r>
  <r>
    <n v="2024"/>
    <n v="2003100005"/>
    <x v="9"/>
    <s v="October"/>
    <x v="0"/>
    <n v="27409176.349999998"/>
  </r>
  <r>
    <n v="2024"/>
    <n v="2003100005"/>
    <x v="10"/>
    <s v="November"/>
    <x v="0"/>
    <n v="29731107.890000001"/>
  </r>
  <r>
    <n v="2024"/>
    <n v="2003100005"/>
    <x v="11"/>
    <s v="December"/>
    <x v="0"/>
    <n v="28260518.369999997"/>
  </r>
  <r>
    <n v="2024"/>
    <n v="2003100006"/>
    <x v="0"/>
    <s v="January"/>
    <x v="1"/>
    <n v="1147673.5472020002"/>
  </r>
  <r>
    <n v="2024"/>
    <n v="2003100006"/>
    <x v="1"/>
    <s v="February"/>
    <x v="1"/>
    <n v="1358569.75037"/>
  </r>
  <r>
    <n v="2024"/>
    <n v="2003100006"/>
    <x v="2"/>
    <s v="March"/>
    <x v="1"/>
    <n v="1865549.31"/>
  </r>
  <r>
    <n v="2024"/>
    <n v="2003100006"/>
    <x v="3"/>
    <s v="April"/>
    <x v="1"/>
    <n v="1798306.99"/>
  </r>
  <r>
    <n v="2024"/>
    <n v="2003100006"/>
    <x v="4"/>
    <s v="May"/>
    <x v="1"/>
    <n v="1442012.0299999998"/>
  </r>
  <r>
    <n v="2024"/>
    <n v="2003100006"/>
    <x v="5"/>
    <s v="June"/>
    <x v="1"/>
    <n v="1276426.21"/>
  </r>
  <r>
    <n v="2024"/>
    <n v="2003100006"/>
    <x v="6"/>
    <s v="July"/>
    <x v="1"/>
    <n v="924149.82000000007"/>
  </r>
  <r>
    <n v="2024"/>
    <n v="2003100006"/>
    <x v="7"/>
    <s v="August"/>
    <x v="1"/>
    <n v="1275012.28"/>
  </r>
  <r>
    <n v="2024"/>
    <n v="2003100006"/>
    <x v="8"/>
    <s v="September"/>
    <x v="1"/>
    <n v="1870121.79"/>
  </r>
  <r>
    <n v="2024"/>
    <n v="2003100006"/>
    <x v="9"/>
    <s v="October"/>
    <x v="1"/>
    <n v="1872141.15"/>
  </r>
  <r>
    <n v="2024"/>
    <n v="2003100006"/>
    <x v="10"/>
    <s v="November"/>
    <x v="1"/>
    <n v="2161137.13"/>
  </r>
  <r>
    <n v="2024"/>
    <n v="2003100006"/>
    <x v="11"/>
    <s v="December"/>
    <x v="1"/>
    <n v="1688403.08"/>
  </r>
  <r>
    <n v="2024"/>
    <n v="2003100007"/>
    <x v="0"/>
    <s v="January"/>
    <x v="2"/>
    <n v="1501984.7344124001"/>
  </r>
  <r>
    <n v="2024"/>
    <n v="2003100007"/>
    <x v="1"/>
    <s v="February"/>
    <x v="2"/>
    <n v="1151264.0289695999"/>
  </r>
  <r>
    <n v="2024"/>
    <n v="2003100007"/>
    <x v="2"/>
    <s v="March"/>
    <x v="2"/>
    <n v="1470333.47"/>
  </r>
  <r>
    <n v="2024"/>
    <n v="2003100007"/>
    <x v="3"/>
    <s v="April"/>
    <x v="2"/>
    <n v="1628563.6500000001"/>
  </r>
  <r>
    <n v="2024"/>
    <n v="2003100007"/>
    <x v="4"/>
    <s v="May"/>
    <x v="2"/>
    <n v="1562604.23"/>
  </r>
  <r>
    <n v="2024"/>
    <n v="2003100007"/>
    <x v="5"/>
    <s v="June"/>
    <x v="2"/>
    <n v="1485195.23"/>
  </r>
  <r>
    <n v="2024"/>
    <n v="2003100007"/>
    <x v="6"/>
    <s v="July"/>
    <x v="2"/>
    <n v="1131820.5599999998"/>
  </r>
  <r>
    <n v="2024"/>
    <n v="2003100007"/>
    <x v="7"/>
    <s v="August"/>
    <x v="2"/>
    <n v="821780.29"/>
  </r>
  <r>
    <n v="2024"/>
    <n v="2003100007"/>
    <x v="8"/>
    <s v="September"/>
    <x v="2"/>
    <n v="1303688.0299999998"/>
  </r>
  <r>
    <n v="2024"/>
    <n v="2003100007"/>
    <x v="9"/>
    <s v="October"/>
    <x v="2"/>
    <n v="1535434.2"/>
  </r>
  <r>
    <n v="2024"/>
    <n v="2003100007"/>
    <x v="10"/>
    <s v="November"/>
    <x v="2"/>
    <n v="1544790.7000000002"/>
  </r>
  <r>
    <n v="2024"/>
    <n v="2003100007"/>
    <x v="11"/>
    <s v="December"/>
    <x v="2"/>
    <n v="1497762.41"/>
  </r>
  <r>
    <n v="2024"/>
    <n v="2211200001"/>
    <x v="0"/>
    <s v="January"/>
    <x v="3"/>
    <n v="-9336788.7345072329"/>
  </r>
  <r>
    <n v="2024"/>
    <n v="2211200001"/>
    <x v="1"/>
    <s v="February"/>
    <x v="3"/>
    <n v="-12888477.307886396"/>
  </r>
  <r>
    <n v="2024"/>
    <n v="2211200001"/>
    <x v="2"/>
    <s v="March"/>
    <x v="3"/>
    <n v="-17560389.519540392"/>
  </r>
  <r>
    <n v="2024"/>
    <n v="2211200001"/>
    <x v="3"/>
    <s v="April"/>
    <x v="3"/>
    <n v="-16154015.034733448"/>
  </r>
  <r>
    <n v="2024"/>
    <n v="2211200001"/>
    <x v="4"/>
    <s v="May"/>
    <x v="3"/>
    <n v="-14572287.713533852"/>
  </r>
  <r>
    <n v="2024"/>
    <n v="2211200001"/>
    <x v="5"/>
    <s v="June"/>
    <x v="3"/>
    <n v="-11649164.578394977"/>
  </r>
  <r>
    <n v="2024"/>
    <n v="2211200001"/>
    <x v="6"/>
    <s v="July"/>
    <x v="3"/>
    <n v="-8686540.3381481916"/>
  </r>
  <r>
    <n v="2024"/>
    <n v="2211200001"/>
    <x v="7"/>
    <s v="August"/>
    <x v="3"/>
    <n v="-10685746.351340942"/>
  </r>
  <r>
    <n v="2024"/>
    <n v="2211200001"/>
    <x v="8"/>
    <s v="September"/>
    <x v="3"/>
    <n v="-18480801.116032291"/>
  </r>
  <r>
    <n v="2024"/>
    <n v="2211200001"/>
    <x v="9"/>
    <s v="October"/>
    <x v="3"/>
    <n v="-16614971.979088241"/>
  </r>
  <r>
    <n v="2024"/>
    <n v="2211200001"/>
    <x v="10"/>
    <s v="November"/>
    <x v="3"/>
    <n v="-18080349.897248216"/>
  </r>
  <r>
    <n v="2024"/>
    <n v="2211200001"/>
    <x v="11"/>
    <s v="December"/>
    <x v="3"/>
    <n v="-17253623.790924061"/>
  </r>
  <r>
    <n v="2024"/>
    <n v="2211200002"/>
    <x v="0"/>
    <s v="January"/>
    <x v="4"/>
    <n v="-723645.01494004123"/>
  </r>
  <r>
    <n v="2024"/>
    <n v="2211200002"/>
    <x v="1"/>
    <s v="February"/>
    <x v="4"/>
    <n v="-851880.0874124564"/>
  </r>
  <r>
    <n v="2024"/>
    <n v="2211200002"/>
    <x v="2"/>
    <s v="March"/>
    <x v="4"/>
    <n v="-1172064.4363036081"/>
  </r>
  <r>
    <n v="2024"/>
    <n v="2211200002"/>
    <x v="3"/>
    <s v="April"/>
    <x v="4"/>
    <n v="-1119928.4824158766"/>
  </r>
  <r>
    <n v="2024"/>
    <n v="2211200002"/>
    <x v="4"/>
    <s v="May"/>
    <x v="4"/>
    <n v="-903671.5366455121"/>
  </r>
  <r>
    <n v="2024"/>
    <n v="2211200002"/>
    <x v="5"/>
    <s v="June"/>
    <x v="4"/>
    <n v="-811095.8285900976"/>
  </r>
  <r>
    <n v="2024"/>
    <n v="2211200002"/>
    <x v="6"/>
    <s v="July"/>
    <x v="4"/>
    <n v="-590189.53394671693"/>
  </r>
  <r>
    <n v="2024"/>
    <n v="2211200002"/>
    <x v="7"/>
    <s v="August"/>
    <x v="4"/>
    <n v="-805823.52410282835"/>
  </r>
  <r>
    <n v="2024"/>
    <n v="2211200002"/>
    <x v="8"/>
    <s v="September"/>
    <x v="4"/>
    <n v="-1178510.9915419267"/>
  </r>
  <r>
    <n v="2024"/>
    <n v="2211200002"/>
    <x v="9"/>
    <s v="October"/>
    <x v="4"/>
    <n v="-1166665.5965778399"/>
  </r>
  <r>
    <n v="2024"/>
    <n v="2211200002"/>
    <x v="10"/>
    <s v="November"/>
    <x v="4"/>
    <n v="-1349251.958093368"/>
  </r>
  <r>
    <n v="2024"/>
    <n v="2211200002"/>
    <x v="11"/>
    <s v="December"/>
    <x v="4"/>
    <n v="-1055502.7897308101"/>
  </r>
  <r>
    <n v="2024"/>
    <n v="2211200003"/>
    <x v="0"/>
    <s v="January"/>
    <x v="5"/>
    <n v="-927479.00660414749"/>
  </r>
  <r>
    <n v="2024"/>
    <n v="2211200003"/>
    <x v="1"/>
    <s v="February"/>
    <x v="5"/>
    <n v="-704715.47410218394"/>
  </r>
  <r>
    <n v="2024"/>
    <n v="2211200003"/>
    <x v="2"/>
    <s v="March"/>
    <x v="5"/>
    <n v="-891741.66147497704"/>
  </r>
  <r>
    <n v="2024"/>
    <n v="2211200003"/>
    <x v="3"/>
    <s v="April"/>
    <x v="5"/>
    <n v="-997120.07745444344"/>
  </r>
  <r>
    <n v="2024"/>
    <n v="2211200003"/>
    <x v="4"/>
    <s v="May"/>
    <x v="5"/>
    <n v="-960150.55309049494"/>
  </r>
  <r>
    <n v="2024"/>
    <n v="2211200003"/>
    <x v="5"/>
    <s v="June"/>
    <x v="5"/>
    <n v="-920083.11247849581"/>
  </r>
  <r>
    <n v="2024"/>
    <n v="2211200003"/>
    <x v="6"/>
    <s v="July"/>
    <x v="5"/>
    <n v="-707533.22756387549"/>
  </r>
  <r>
    <n v="2024"/>
    <n v="2211200003"/>
    <x v="7"/>
    <s v="August"/>
    <x v="5"/>
    <n v="-510035.97374145529"/>
  </r>
  <r>
    <n v="2024"/>
    <n v="2211200003"/>
    <x v="8"/>
    <s v="September"/>
    <x v="5"/>
    <n v="-798532.1424569916"/>
  </r>
  <r>
    <n v="2024"/>
    <n v="2211200003"/>
    <x v="9"/>
    <s v="October"/>
    <x v="5"/>
    <n v="-934751.90993476647"/>
  </r>
  <r>
    <n v="2024"/>
    <n v="2211200003"/>
    <x v="10"/>
    <s v="November"/>
    <x v="5"/>
    <n v="-940569.68295495713"/>
  </r>
  <r>
    <n v="2024"/>
    <n v="2211200003"/>
    <x v="11"/>
    <s v="December"/>
    <x v="5"/>
    <n v="-919269.08173384296"/>
  </r>
  <r>
    <n v="2024"/>
    <n v="2201201000"/>
    <x v="0"/>
    <s v="January"/>
    <x v="6"/>
    <n v="-11398.766246217199"/>
  </r>
  <r>
    <n v="2024"/>
    <n v="2201201000"/>
    <x v="1"/>
    <s v="February"/>
    <x v="6"/>
    <n v="-8839.5312757342381"/>
  </r>
  <r>
    <n v="2024"/>
    <n v="2201201000"/>
    <x v="2"/>
    <s v="March"/>
    <x v="6"/>
    <n v="-11413.751431754767"/>
  </r>
  <r>
    <n v="2024"/>
    <n v="2201201000"/>
    <x v="3"/>
    <s v="April"/>
    <x v="6"/>
    <n v="-12483.943369729634"/>
  </r>
  <r>
    <n v="2024"/>
    <n v="2201201000"/>
    <x v="4"/>
    <s v="May"/>
    <x v="6"/>
    <n v="-11682.298274725941"/>
  </r>
  <r>
    <n v="2024"/>
    <n v="2201201000"/>
    <x v="5"/>
    <s v="June"/>
    <x v="6"/>
    <n v="-11405.38670121858"/>
  </r>
  <r>
    <n v="2024"/>
    <n v="2201201000"/>
    <x v="6"/>
    <s v="July"/>
    <x v="6"/>
    <n v="-8858.3160090997208"/>
  </r>
  <r>
    <n v="2024"/>
    <n v="2201201000"/>
    <x v="7"/>
    <s v="August"/>
    <x v="6"/>
    <n v="-6168.2206145791097"/>
  </r>
  <r>
    <n v="2024"/>
    <n v="2201201000"/>
    <x v="8"/>
    <s v="September"/>
    <x v="6"/>
    <n v="-9898.6360629322153"/>
  </r>
  <r>
    <n v="2024"/>
    <n v="2201201000"/>
    <x v="9"/>
    <s v="October"/>
    <x v="6"/>
    <n v="-11587.221695428991"/>
  </r>
  <r>
    <n v="2024"/>
    <n v="2201201000"/>
    <x v="10"/>
    <s v="November"/>
    <x v="6"/>
    <n v="-11659.33904019412"/>
  </r>
  <r>
    <n v="2024"/>
    <n v="2201201000"/>
    <x v="11"/>
    <s v="December"/>
    <x v="6"/>
    <n v="-11282.471231553485"/>
  </r>
  <r>
    <n v="2024"/>
    <n v="2690200007"/>
    <x v="0"/>
    <s v="January"/>
    <x v="7"/>
    <n v="-317875.15393591078"/>
  </r>
  <r>
    <n v="2024"/>
    <n v="2690200007"/>
    <x v="1"/>
    <s v="February"/>
    <x v="7"/>
    <n v="-409768.75901953521"/>
  </r>
  <r>
    <n v="2024"/>
    <n v="2690200007"/>
    <x v="2"/>
    <s v="March"/>
    <x v="7"/>
    <n v="-568307.7391289206"/>
  </r>
  <r>
    <n v="2024"/>
    <n v="2690200007"/>
    <x v="3"/>
    <s v="April"/>
    <x v="7"/>
    <n v="-511261.6976856743"/>
  </r>
  <r>
    <n v="2024"/>
    <n v="2690200007"/>
    <x v="4"/>
    <s v="May"/>
    <x v="7"/>
    <n v="-467668.52780748886"/>
  </r>
  <r>
    <n v="2024"/>
    <n v="2690200007"/>
    <x v="5"/>
    <s v="June"/>
    <x v="7"/>
    <n v="-381856.68402023375"/>
  </r>
  <r>
    <n v="2024"/>
    <n v="2690200007"/>
    <x v="6"/>
    <s v="July"/>
    <x v="7"/>
    <n v="-285451.89651801134"/>
  </r>
  <r>
    <n v="2024"/>
    <n v="2690200007"/>
    <x v="7"/>
    <s v="August"/>
    <x v="7"/>
    <n v="-344870.89313454035"/>
  </r>
  <r>
    <n v="2024"/>
    <n v="2690200007"/>
    <x v="8"/>
    <s v="September"/>
    <x v="7"/>
    <n v="-596806.46392799029"/>
  </r>
  <r>
    <n v="2024"/>
    <n v="2690200007"/>
    <x v="9"/>
    <s v="October"/>
    <x v="7"/>
    <n v="-546218.24839118612"/>
  </r>
  <r>
    <n v="2024"/>
    <n v="2690200007"/>
    <x v="10"/>
    <s v="November"/>
    <x v="7"/>
    <n v="-589848.29245393933"/>
  </r>
  <r>
    <n v="2024"/>
    <n v="2690200007"/>
    <x v="11"/>
    <s v="December"/>
    <x v="7"/>
    <n v="-565735.57611375523"/>
  </r>
  <r>
    <n v="2024"/>
    <n v="2690200010"/>
    <x v="0"/>
    <s v="January"/>
    <x v="8"/>
    <n v="-67059.167186793871"/>
  </r>
  <r>
    <n v="2024"/>
    <n v="2690200010"/>
    <x v="1"/>
    <s v="February"/>
    <x v="8"/>
    <n v="-87119.241687380854"/>
  </r>
  <r>
    <n v="2024"/>
    <n v="2690200010"/>
    <x v="2"/>
    <s v="March"/>
    <x v="8"/>
    <n v="-123829.24404732311"/>
  </r>
  <r>
    <n v="2024"/>
    <n v="2690200010"/>
    <x v="3"/>
    <s v="April"/>
    <x v="8"/>
    <n v="-118127.48462381828"/>
  </r>
  <r>
    <n v="2024"/>
    <n v="2690200010"/>
    <x v="4"/>
    <s v="May"/>
    <x v="8"/>
    <n v="-111368.19520867856"/>
  </r>
  <r>
    <n v="2024"/>
    <n v="2690200010"/>
    <x v="5"/>
    <s v="June"/>
    <x v="8"/>
    <n v="-89145.294525000019"/>
  </r>
  <r>
    <n v="2024"/>
    <n v="2690200010"/>
    <x v="6"/>
    <s v="July"/>
    <x v="8"/>
    <n v="-65228.702607886691"/>
  </r>
  <r>
    <n v="2024"/>
    <n v="2690200010"/>
    <x v="7"/>
    <s v="August"/>
    <x v="8"/>
    <n v="-72627.05919597407"/>
  </r>
  <r>
    <n v="2024"/>
    <n v="2690200010"/>
    <x v="8"/>
    <s v="September"/>
    <x v="8"/>
    <n v="-113058.288"/>
  </r>
  <r>
    <n v="2024"/>
    <n v="2690200010"/>
    <x v="9"/>
    <s v="October"/>
    <x v="8"/>
    <n v="-120163.84583953067"/>
  </r>
  <r>
    <n v="2024"/>
    <n v="2690200010"/>
    <x v="10"/>
    <s v="November"/>
    <x v="8"/>
    <n v="-120876.87312739773"/>
  </r>
  <r>
    <n v="2024"/>
    <n v="2690200010"/>
    <x v="11"/>
    <s v="December"/>
    <x v="8"/>
    <n v="-106978.35630500953"/>
  </r>
  <r>
    <n v="2024"/>
    <n v="2532300000"/>
    <x v="0"/>
    <s v="January"/>
    <x v="9"/>
    <n v="-1470207.5748717913"/>
  </r>
  <r>
    <n v="2024"/>
    <n v="2532300000"/>
    <x v="1"/>
    <s v="February"/>
    <x v="9"/>
    <n v="-1932725.4307341292"/>
  </r>
  <r>
    <n v="2024"/>
    <n v="2532300000"/>
    <x v="2"/>
    <s v="March"/>
    <x v="9"/>
    <n v="-2446516.2337589473"/>
  </r>
  <r>
    <n v="2024"/>
    <n v="2532300000"/>
    <x v="3"/>
    <s v="April"/>
    <x v="9"/>
    <n v="-2307060.6568676503"/>
  </r>
  <r>
    <n v="2024"/>
    <n v="2532300000"/>
    <x v="4"/>
    <s v="May"/>
    <x v="9"/>
    <n v="-2092614.7626787613"/>
  </r>
  <r>
    <n v="2024"/>
    <n v="2532300000"/>
    <x v="5"/>
    <s v="June"/>
    <x v="9"/>
    <n v="-1618297.103107024"/>
  </r>
  <r>
    <n v="2024"/>
    <n v="2532300000"/>
    <x v="6"/>
    <s v="July"/>
    <x v="9"/>
    <n v="-1227654.3623487127"/>
  </r>
  <r>
    <n v="2024"/>
    <n v="2532300000"/>
    <x v="7"/>
    <s v="August"/>
    <x v="9"/>
    <n v="-1435278.968607926"/>
  </r>
  <r>
    <n v="2024"/>
    <n v="2532300000"/>
    <x v="8"/>
    <s v="September"/>
    <x v="9"/>
    <n v="-2829668.0311388834"/>
  </r>
  <r>
    <n v="2024"/>
    <n v="2532300000"/>
    <x v="9"/>
    <s v="October"/>
    <x v="9"/>
    <n v="-2625300.9409412681"/>
  </r>
  <r>
    <n v="2024"/>
    <n v="2532300000"/>
    <x v="10"/>
    <s v="November"/>
    <x v="9"/>
    <n v="-2833429.9650960444"/>
  </r>
  <r>
    <n v="2024"/>
    <n v="2532300000"/>
    <x v="11"/>
    <s v="December"/>
    <x v="9"/>
    <n v="-2614443.6068102433"/>
  </r>
  <r>
    <n v="2024"/>
    <n v="2530200000"/>
    <x v="0"/>
    <s v="January"/>
    <x v="10"/>
    <n v="-2543367.9942725478"/>
  </r>
  <r>
    <n v="2024"/>
    <n v="2530200000"/>
    <x v="1"/>
    <s v="February"/>
    <x v="10"/>
    <n v="-3367126.0614075279"/>
  </r>
  <r>
    <n v="2024"/>
    <n v="2530200000"/>
    <x v="2"/>
    <s v="March"/>
    <x v="10"/>
    <n v="-4541273.1791659035"/>
  </r>
  <r>
    <n v="2024"/>
    <n v="2530200000"/>
    <x v="3"/>
    <s v="April"/>
    <x v="10"/>
    <n v="-4159371.2398202647"/>
  </r>
  <r>
    <n v="2024"/>
    <n v="2530200000"/>
    <x v="4"/>
    <s v="May"/>
    <x v="10"/>
    <n v="-3748647.2542714346"/>
  </r>
  <r>
    <n v="2024"/>
    <n v="2530200000"/>
    <x v="5"/>
    <s v="June"/>
    <x v="10"/>
    <n v="-2917515.752655949"/>
  </r>
  <r>
    <n v="2024"/>
    <n v="2530200000"/>
    <x v="6"/>
    <s v="July"/>
    <x v="10"/>
    <n v="-2140880.4458391913"/>
  </r>
  <r>
    <n v="2024"/>
    <n v="2530200000"/>
    <x v="7"/>
    <s v="August"/>
    <x v="10"/>
    <n v="-2608054.5929596364"/>
  </r>
  <r>
    <n v="2024"/>
    <n v="2530200000"/>
    <x v="8"/>
    <s v="September"/>
    <x v="10"/>
    <n v="-4996800.533738289"/>
  </r>
  <r>
    <n v="2024"/>
    <n v="2530200000"/>
    <x v="9"/>
    <s v="October"/>
    <x v="10"/>
    <n v="-4648491.5434395829"/>
  </r>
  <r>
    <n v="2024"/>
    <n v="2530200000"/>
    <x v="10"/>
    <s v="November"/>
    <x v="10"/>
    <n v="-4971882.1149100009"/>
  </r>
  <r>
    <n v="2024"/>
    <n v="2530200000"/>
    <x v="11"/>
    <s v="December"/>
    <x v="10"/>
    <n v="-4596069.2711621691"/>
  </r>
  <r>
    <n v="2024"/>
    <n v="2530300000"/>
    <x v="0"/>
    <s v="January"/>
    <x v="11"/>
    <n v="-154319.04551857413"/>
  </r>
  <r>
    <n v="2024"/>
    <n v="2530300000"/>
    <x v="1"/>
    <s v="February"/>
    <x v="11"/>
    <n v="-138813.11712647995"/>
  </r>
  <r>
    <n v="2024"/>
    <n v="2530300000"/>
    <x v="2"/>
    <s v="March"/>
    <x v="11"/>
    <n v="-181299.37930454346"/>
  </r>
  <r>
    <n v="2024"/>
    <n v="2530300000"/>
    <x v="3"/>
    <s v="April"/>
    <x v="11"/>
    <n v="-177292.37985036781"/>
  </r>
  <r>
    <n v="2024"/>
    <n v="2530300000"/>
    <x v="4"/>
    <s v="May"/>
    <x v="11"/>
    <n v="-165542.04224487388"/>
  </r>
  <r>
    <n v="2024"/>
    <n v="2530300000"/>
    <x v="5"/>
    <s v="June"/>
    <x v="11"/>
    <n v="-180245.45721077503"/>
  </r>
  <r>
    <n v="2024"/>
    <n v="2530300000"/>
    <x v="6"/>
    <s v="July"/>
    <x v="11"/>
    <n v="-147634.98828176677"/>
  </r>
  <r>
    <n v="2024"/>
    <n v="2530300000"/>
    <x v="7"/>
    <s v="August"/>
    <x v="11"/>
    <n v="-106385.89161922825"/>
  </r>
  <r>
    <n v="2024"/>
    <n v="2530300000"/>
    <x v="8"/>
    <s v="September"/>
    <x v="11"/>
    <n v="-134150.11548120002"/>
  </r>
  <r>
    <n v="2024"/>
    <n v="2530300000"/>
    <x v="9"/>
    <s v="October"/>
    <x v="11"/>
    <n v="-155344.32453843046"/>
  </r>
  <r>
    <n v="2024"/>
    <n v="2530300000"/>
    <x v="10"/>
    <s v="November"/>
    <x v="11"/>
    <n v="-184420.57522695707"/>
  </r>
  <r>
    <n v="2024"/>
    <n v="2530300000"/>
    <x v="11"/>
    <s v="December"/>
    <x v="11"/>
    <n v="-175151.39560348619"/>
  </r>
  <r>
    <n v="2024"/>
    <n v="2400210100"/>
    <x v="0"/>
    <s v="January"/>
    <x v="12"/>
    <n v="-1523819.5431297973"/>
  </r>
  <r>
    <n v="2024"/>
    <n v="2400210100"/>
    <x v="1"/>
    <s v="February"/>
    <x v="12"/>
    <n v="-1531111.157527446"/>
  </r>
  <r>
    <n v="2024"/>
    <n v="2400210100"/>
    <x v="2"/>
    <s v="March"/>
    <x v="12"/>
    <n v="-1521637.4677494406"/>
  </r>
  <r>
    <n v="2024"/>
    <n v="2400210100"/>
    <x v="3"/>
    <s v="April"/>
    <x v="12"/>
    <n v="-1512990.6429420649"/>
  </r>
  <r>
    <n v="2024"/>
    <n v="2400210100"/>
    <x v="4"/>
    <s v="May"/>
    <x v="12"/>
    <n v="-1508750.0401583889"/>
  </r>
  <r>
    <n v="2024"/>
    <n v="2400210100"/>
    <x v="5"/>
    <s v="June"/>
    <x v="12"/>
    <n v="-1508440.1684676786"/>
  </r>
  <r>
    <n v="2024"/>
    <n v="2400210100"/>
    <x v="6"/>
    <s v="July"/>
    <x v="12"/>
    <n v="-1507887.838324459"/>
  </r>
  <r>
    <n v="2024"/>
    <n v="2400210100"/>
    <x v="7"/>
    <s v="August"/>
    <x v="12"/>
    <n v="-1511575.2885234079"/>
  </r>
  <r>
    <n v="2024"/>
    <n v="2400210100"/>
    <x v="8"/>
    <s v="September"/>
    <x v="12"/>
    <n v="-1540696.4491838852"/>
  </r>
  <r>
    <n v="2024"/>
    <n v="2400210100"/>
    <x v="9"/>
    <s v="October"/>
    <x v="12"/>
    <n v="-1547838.7569218581"/>
  </r>
  <r>
    <n v="2024"/>
    <n v="2400210100"/>
    <x v="10"/>
    <s v="November"/>
    <x v="12"/>
    <n v="-1548569.43552806"/>
  </r>
  <r>
    <n v="2024"/>
    <n v="2400210100"/>
    <x v="11"/>
    <s v="December"/>
    <x v="12"/>
    <n v="-1550788.6754879931"/>
  </r>
  <r>
    <n v="2024"/>
    <n v="2400210200"/>
    <x v="0"/>
    <s v="January"/>
    <x v="13"/>
    <n v="-407.01102750000007"/>
  </r>
  <r>
    <n v="2024"/>
    <n v="2400210200"/>
    <x v="1"/>
    <s v="February"/>
    <x v="13"/>
    <n v="-429.9827298921"/>
  </r>
  <r>
    <n v="2024"/>
    <n v="2400210200"/>
    <x v="2"/>
    <s v="March"/>
    <x v="13"/>
    <n v="-15309.256958587517"/>
  </r>
  <r>
    <n v="2024"/>
    <n v="2400210200"/>
    <x v="3"/>
    <s v="April"/>
    <x v="13"/>
    <n v="-582.63859500000012"/>
  </r>
  <r>
    <n v="2024"/>
    <n v="2400210200"/>
    <x v="4"/>
    <s v="May"/>
    <x v="13"/>
    <n v="-637.2573900000001"/>
  </r>
  <r>
    <n v="2024"/>
    <n v="2400210200"/>
    <x v="5"/>
    <s v="June"/>
    <x v="13"/>
    <n v="-9051.0420000000013"/>
  </r>
  <r>
    <n v="2024"/>
    <n v="2400210200"/>
    <x v="6"/>
    <s v="July"/>
    <x v="13"/>
    <n v="-379.34589"/>
  </r>
  <r>
    <n v="2024"/>
    <n v="2400210200"/>
    <x v="7"/>
    <s v="August"/>
    <x v="13"/>
    <n v="-890.07291450000002"/>
  </r>
  <r>
    <n v="2024"/>
    <n v="2400210200"/>
    <x v="8"/>
    <s v="September"/>
    <x v="13"/>
    <n v="-26666.753190000007"/>
  </r>
  <r>
    <n v="2024"/>
    <n v="2400210200"/>
    <x v="9"/>
    <s v="October"/>
    <x v="13"/>
    <n v="-527.99439000000007"/>
  </r>
  <r>
    <n v="2024"/>
    <n v="2400210200"/>
    <x v="10"/>
    <s v="November"/>
    <x v="13"/>
    <n v="-441.87990000000008"/>
  </r>
  <r>
    <n v="2024"/>
    <n v="2400210200"/>
    <x v="11"/>
    <s v="December"/>
    <x v="13"/>
    <n v="-89019.466333875011"/>
  </r>
  <r>
    <n v="2024"/>
    <n v="2400210120"/>
    <x v="0"/>
    <s v="January"/>
    <x v="14"/>
    <n v="-30909.524543259562"/>
  </r>
  <r>
    <n v="2024"/>
    <n v="2400210120"/>
    <x v="1"/>
    <s v="February"/>
    <x v="14"/>
    <n v="-31057.429415066876"/>
  </r>
  <r>
    <n v="2024"/>
    <n v="2400210120"/>
    <x v="2"/>
    <s v="March"/>
    <x v="14"/>
    <n v="-30865.262797944328"/>
  </r>
  <r>
    <n v="2024"/>
    <n v="2400210120"/>
    <x v="3"/>
    <s v="April"/>
    <x v="14"/>
    <n v="-30689.868510077478"/>
  </r>
  <r>
    <n v="2024"/>
    <n v="2400210120"/>
    <x v="4"/>
    <s v="May"/>
    <x v="14"/>
    <n v="-30603.85109652533"/>
  </r>
  <r>
    <n v="2024"/>
    <n v="2400210120"/>
    <x v="5"/>
    <s v="June"/>
    <x v="14"/>
    <n v="-30597.565584128239"/>
  </r>
  <r>
    <n v="2024"/>
    <n v="2400210120"/>
    <x v="6"/>
    <s v="July"/>
    <x v="14"/>
    <n v="-30586.361985779065"/>
  </r>
  <r>
    <n v="2024"/>
    <n v="2400210120"/>
    <x v="7"/>
    <s v="August"/>
    <x v="14"/>
    <n v="-30661.159118379408"/>
  </r>
  <r>
    <n v="2024"/>
    <n v="2400210120"/>
    <x v="8"/>
    <s v="September"/>
    <x v="14"/>
    <n v="-31251.859791711402"/>
  </r>
  <r>
    <n v="2024"/>
    <n v="2400210120"/>
    <x v="9"/>
    <s v="October"/>
    <x v="14"/>
    <n v="-31396.736091085371"/>
  </r>
  <r>
    <n v="2024"/>
    <n v="2400210120"/>
    <x v="10"/>
    <s v="November"/>
    <x v="14"/>
    <n v="-31411.557352837441"/>
  </r>
  <r>
    <n v="2024"/>
    <n v="2400210120"/>
    <x v="11"/>
    <s v="December"/>
    <x v="14"/>
    <n v="-31456.572953482682"/>
  </r>
  <r>
    <n v="2024"/>
    <n v="2546100100"/>
    <x v="0"/>
    <s v="January"/>
    <x v="15"/>
    <n v="-358802.71282625006"/>
  </r>
  <r>
    <n v="2024"/>
    <n v="2546100100"/>
    <x v="1"/>
    <s v="February"/>
    <x v="15"/>
    <n v="-376107.33455077809"/>
  </r>
  <r>
    <n v="2024"/>
    <n v="2546100100"/>
    <x v="2"/>
    <s v="March"/>
    <x v="15"/>
    <n v="-445681.77704020828"/>
  </r>
  <r>
    <n v="2024"/>
    <n v="2546100100"/>
    <x v="3"/>
    <s v="April"/>
    <x v="15"/>
    <n v="-475436.64132128179"/>
  </r>
  <r>
    <n v="2024"/>
    <n v="2546100100"/>
    <x v="4"/>
    <s v="May"/>
    <x v="15"/>
    <n v="-384962.22418500006"/>
  </r>
  <r>
    <n v="2024"/>
    <n v="2546100100"/>
    <x v="5"/>
    <s v="June"/>
    <x v="15"/>
    <n v="-366630.68970000005"/>
  </r>
  <r>
    <n v="2024"/>
    <n v="2546100100"/>
    <x v="6"/>
    <s v="July"/>
    <x v="15"/>
    <n v="-268498.33129350003"/>
  </r>
  <r>
    <n v="2024"/>
    <n v="2546100100"/>
    <x v="7"/>
    <s v="August"/>
    <x v="15"/>
    <n v="-227638.34806683435"/>
  </r>
  <r>
    <n v="2024"/>
    <n v="2546100100"/>
    <x v="8"/>
    <s v="September"/>
    <x v="15"/>
    <n v="-413490.11320277973"/>
  </r>
  <r>
    <n v="2024"/>
    <n v="2546100100"/>
    <x v="9"/>
    <s v="October"/>
    <x v="15"/>
    <n v="-381830.94645313761"/>
  </r>
  <r>
    <n v="2024"/>
    <n v="2546100100"/>
    <x v="10"/>
    <s v="November"/>
    <x v="15"/>
    <n v="-394643.55968815665"/>
  </r>
  <r>
    <n v="2024"/>
    <n v="2546100100"/>
    <x v="11"/>
    <s v="December"/>
    <x v="15"/>
    <n v="-372706.14279112499"/>
  </r>
  <r>
    <n v="2024"/>
    <n v="2544601400"/>
    <x v="0"/>
    <s v="January"/>
    <x v="16"/>
    <n v="-109605.29643112503"/>
  </r>
  <r>
    <n v="2024"/>
    <n v="2544601400"/>
    <x v="1"/>
    <s v="February"/>
    <x v="16"/>
    <n v="-118609.10477650013"/>
  </r>
  <r>
    <n v="2024"/>
    <n v="2544601400"/>
    <x v="2"/>
    <s v="March"/>
    <x v="16"/>
    <n v="-123117.26695895618"/>
  </r>
  <r>
    <n v="2024"/>
    <n v="2544601400"/>
    <x v="3"/>
    <s v="April"/>
    <x v="16"/>
    <n v="-116028.82883361628"/>
  </r>
  <r>
    <n v="2024"/>
    <n v="2544601400"/>
    <x v="4"/>
    <s v="May"/>
    <x v="16"/>
    <n v="-97509.604500000016"/>
  </r>
  <r>
    <n v="2024"/>
    <n v="2544601400"/>
    <x v="5"/>
    <s v="June"/>
    <x v="16"/>
    <n v="-92866.290000000023"/>
  </r>
  <r>
    <n v="2024"/>
    <n v="2544601400"/>
    <x v="6"/>
    <s v="July"/>
    <x v="16"/>
    <n v="-84998.736900000018"/>
  </r>
  <r>
    <n v="2024"/>
    <n v="2544601400"/>
    <x v="7"/>
    <s v="August"/>
    <x v="16"/>
    <n v="-96952.952550162518"/>
  </r>
  <r>
    <n v="2024"/>
    <n v="2544601400"/>
    <x v="8"/>
    <s v="September"/>
    <x v="16"/>
    <n v="-156020.26752300485"/>
  </r>
  <r>
    <n v="2024"/>
    <n v="2544601400"/>
    <x v="9"/>
    <s v="October"/>
    <x v="16"/>
    <n v="-168444.87350460002"/>
  </r>
  <r>
    <n v="2024"/>
    <n v="2544601400"/>
    <x v="10"/>
    <s v="November"/>
    <x v="16"/>
    <n v="-176087.59613760217"/>
  </r>
  <r>
    <n v="2024"/>
    <n v="2544601400"/>
    <x v="11"/>
    <s v="December"/>
    <x v="16"/>
    <n v="-142666.17608650003"/>
  </r>
  <r>
    <n v="2024"/>
    <n v="2544600140"/>
    <x v="0"/>
    <s v="January"/>
    <x v="17"/>
    <n v="-77705.212594625016"/>
  </r>
  <r>
    <n v="2024"/>
    <n v="2544600140"/>
    <x v="1"/>
    <s v="February"/>
    <x v="17"/>
    <n v="-102457.95750548822"/>
  </r>
  <r>
    <n v="2024"/>
    <n v="2544600140"/>
    <x v="2"/>
    <s v="March"/>
    <x v="17"/>
    <n v="-122105.30944693858"/>
  </r>
  <r>
    <n v="2024"/>
    <n v="2544600140"/>
    <x v="3"/>
    <s v="April"/>
    <x v="17"/>
    <n v="-131622.64395240572"/>
  </r>
  <r>
    <n v="2024"/>
    <n v="2544600140"/>
    <x v="4"/>
    <s v="May"/>
    <x v="17"/>
    <n v="-165518.77072500001"/>
  </r>
  <r>
    <n v="2024"/>
    <n v="2544600140"/>
    <x v="5"/>
    <s v="June"/>
    <x v="17"/>
    <n v="-157636.92450000002"/>
  </r>
  <r>
    <n v="2024"/>
    <n v="2544600140"/>
    <x v="6"/>
    <s v="July"/>
    <x v="17"/>
    <n v="-149852.46899700005"/>
  </r>
  <r>
    <n v="2024"/>
    <n v="2544600140"/>
    <x v="7"/>
    <s v="August"/>
    <x v="17"/>
    <n v="-136552.84107616253"/>
  </r>
  <r>
    <n v="2024"/>
    <n v="2544600140"/>
    <x v="8"/>
    <s v="September"/>
    <x v="17"/>
    <n v="-133810.25790000003"/>
  </r>
  <r>
    <n v="2024"/>
    <n v="2544600140"/>
    <x v="9"/>
    <s v="October"/>
    <x v="17"/>
    <n v="-374669.91324551264"/>
  </r>
  <r>
    <n v="2024"/>
    <n v="2544600140"/>
    <x v="10"/>
    <s v="November"/>
    <x v="17"/>
    <n v="-263362.75371374527"/>
  </r>
  <r>
    <n v="2024"/>
    <n v="2544600140"/>
    <x v="11"/>
    <s v="December"/>
    <x v="17"/>
    <n v="-108238.57164697502"/>
  </r>
  <r>
    <n v="2024"/>
    <n v="2544600120"/>
    <x v="0"/>
    <s v="January"/>
    <x v="18"/>
    <n v="-5524.3312451250022"/>
  </r>
  <r>
    <n v="2024"/>
    <n v="2544600120"/>
    <x v="1"/>
    <s v="February"/>
    <x v="18"/>
    <n v="-9752.1445438394639"/>
  </r>
  <r>
    <n v="2024"/>
    <n v="2544600120"/>
    <x v="2"/>
    <s v="March"/>
    <x v="18"/>
    <n v="-15468.533423580548"/>
  </r>
  <r>
    <n v="2024"/>
    <n v="2544600120"/>
    <x v="3"/>
    <s v="April"/>
    <x v="18"/>
    <n v="-12906.135046685587"/>
  </r>
  <r>
    <n v="2024"/>
    <n v="2544600120"/>
    <x v="4"/>
    <s v="May"/>
    <x v="18"/>
    <n v="-11954.921000000002"/>
  </r>
  <r>
    <n v="2024"/>
    <n v="2544600120"/>
    <x v="5"/>
    <s v="June"/>
    <x v="18"/>
    <n v="-7698.0200000000013"/>
  </r>
  <r>
    <n v="2024"/>
    <n v="2544600120"/>
    <x v="6"/>
    <s v="July"/>
    <x v="18"/>
    <n v="-6521.4226247500019"/>
  </r>
  <r>
    <n v="2024"/>
    <n v="2544600120"/>
    <x v="7"/>
    <s v="August"/>
    <x v="18"/>
    <n v="-3642.6022710000002"/>
  </r>
  <r>
    <n v="2024"/>
    <n v="2544600120"/>
    <x v="8"/>
    <s v="September"/>
    <x v="18"/>
    <n v="-16643.804933507563"/>
  </r>
  <r>
    <n v="2024"/>
    <n v="2544600120"/>
    <x v="9"/>
    <s v="October"/>
    <x v="18"/>
    <n v="-21757.433195987502"/>
  </r>
  <r>
    <n v="2024"/>
    <n v="2544600120"/>
    <x v="10"/>
    <s v="November"/>
    <x v="18"/>
    <n v="-19240.915793935452"/>
  </r>
  <r>
    <n v="2024"/>
    <n v="2544600120"/>
    <x v="11"/>
    <s v="December"/>
    <x v="18"/>
    <n v="-10923.126623750002"/>
  </r>
  <r>
    <n v="2024"/>
    <n v="2544600170"/>
    <x v="0"/>
    <s v="January"/>
    <x v="19"/>
    <n v="-3866.8847250000008"/>
  </r>
  <r>
    <n v="2024"/>
    <n v="2544600170"/>
    <x v="1"/>
    <s v="February"/>
    <x v="19"/>
    <n v="-4994.0684132232964"/>
  </r>
  <r>
    <n v="2024"/>
    <n v="2544600170"/>
    <x v="2"/>
    <s v="March"/>
    <x v="19"/>
    <n v="-6241.18"/>
  </r>
  <r>
    <n v="2024"/>
    <n v="2544600170"/>
    <x v="3"/>
    <s v="April"/>
    <x v="19"/>
    <n v="-10642.356769379154"/>
  </r>
  <r>
    <n v="2024"/>
    <n v="2544600170"/>
    <x v="4"/>
    <s v="May"/>
    <x v="19"/>
    <n v="-11738.239645000001"/>
  </r>
  <r>
    <n v="2024"/>
    <n v="2544600170"/>
    <x v="5"/>
    <s v="June"/>
    <x v="19"/>
    <n v="-10026.894900000003"/>
  </r>
  <r>
    <n v="2024"/>
    <n v="2544600170"/>
    <x v="6"/>
    <s v="July"/>
    <x v="19"/>
    <n v="-4764.0300592500016"/>
  </r>
  <r>
    <n v="2024"/>
    <n v="2544600170"/>
    <x v="7"/>
    <s v="August"/>
    <x v="19"/>
    <n v="-2764.8399657725004"/>
  </r>
  <r>
    <n v="2024"/>
    <n v="2544600170"/>
    <x v="8"/>
    <s v="September"/>
    <x v="19"/>
    <n v="-25028.068353701921"/>
  </r>
  <r>
    <n v="2024"/>
    <n v="2544600170"/>
    <x v="9"/>
    <s v="October"/>
    <x v="19"/>
    <n v="-27633.961081650003"/>
  </r>
  <r>
    <n v="2024"/>
    <n v="2544600170"/>
    <x v="10"/>
    <s v="November"/>
    <x v="19"/>
    <n v="-16961.501645555207"/>
  </r>
  <r>
    <n v="2024"/>
    <n v="2544600170"/>
    <x v="11"/>
    <s v="December"/>
    <x v="19"/>
    <n v="-10536.490884562501"/>
  </r>
  <r>
    <n v="2024"/>
    <n v="2561400000"/>
    <x v="0"/>
    <s v="January"/>
    <x v="20"/>
    <n v="-97865.595786750011"/>
  </r>
  <r>
    <n v="2024"/>
    <n v="2561400000"/>
    <x v="1"/>
    <s v="February"/>
    <x v="20"/>
    <n v="-97865.595786750011"/>
  </r>
  <r>
    <n v="2024"/>
    <n v="2561400000"/>
    <x v="2"/>
    <s v="March"/>
    <x v="20"/>
    <n v="-97605.446573250039"/>
  </r>
  <r>
    <n v="2024"/>
    <n v="2561400000"/>
    <x v="3"/>
    <s v="April"/>
    <x v="20"/>
    <n v="-97605.446573250039"/>
  </r>
  <r>
    <n v="2024"/>
    <n v="2561400000"/>
    <x v="4"/>
    <s v="May"/>
    <x v="20"/>
    <n v="-97605.446573250039"/>
  </r>
  <r>
    <n v="2024"/>
    <n v="2561400000"/>
    <x v="5"/>
    <s v="June"/>
    <x v="20"/>
    <n v="-97610.712100000004"/>
  </r>
  <r>
    <n v="2024"/>
    <n v="2561400000"/>
    <x v="6"/>
    <s v="July"/>
    <x v="20"/>
    <n v="-97793.228500000027"/>
  </r>
  <r>
    <n v="2024"/>
    <n v="2561400000"/>
    <x v="7"/>
    <s v="August"/>
    <x v="20"/>
    <n v="-97961.04340000001"/>
  </r>
  <r>
    <n v="2024"/>
    <n v="2561400000"/>
    <x v="8"/>
    <s v="September"/>
    <x v="20"/>
    <n v="-97755.343400000012"/>
  </r>
  <r>
    <n v="2024"/>
    <n v="2561400000"/>
    <x v="9"/>
    <s v="October"/>
    <x v="20"/>
    <n v="-97755.343400000012"/>
  </r>
  <r>
    <n v="2024"/>
    <n v="2561400000"/>
    <x v="10"/>
    <s v="November"/>
    <x v="20"/>
    <n v="-97755.343400000012"/>
  </r>
  <r>
    <n v="2024"/>
    <n v="2561400000"/>
    <x v="11"/>
    <s v="December"/>
    <x v="20"/>
    <n v="-97755.343400000012"/>
  </r>
  <r>
    <n v="2024"/>
    <n v="2627300000"/>
    <x v="0"/>
    <s v="January"/>
    <x v="21"/>
    <n v="-11832.966279750002"/>
  </r>
  <r>
    <n v="2024"/>
    <n v="2627300000"/>
    <x v="1"/>
    <s v="February"/>
    <x v="21"/>
    <n v="-10668.467240750004"/>
  </r>
  <r>
    <n v="2024"/>
    <n v="2627300000"/>
    <x v="2"/>
    <s v="March"/>
    <x v="21"/>
    <n v="-18729.565800000004"/>
  </r>
  <r>
    <n v="2024"/>
    <n v="2627300000"/>
    <x v="3"/>
    <s v="April"/>
    <x v="21"/>
    <n v="-13879.426000000003"/>
  </r>
  <r>
    <n v="2024"/>
    <n v="2627300000"/>
    <x v="4"/>
    <s v="May"/>
    <x v="21"/>
    <n v="-6075.5310000000018"/>
  </r>
  <r>
    <n v="2024"/>
    <n v="2627300000"/>
    <x v="5"/>
    <s v="June"/>
    <x v="21"/>
    <n v="-16220.158900000004"/>
  </r>
  <r>
    <n v="2024"/>
    <n v="2627300000"/>
    <x v="6"/>
    <s v="July"/>
    <x v="21"/>
    <n v="-11514.541500000003"/>
  </r>
  <r>
    <n v="2024"/>
    <n v="2627300000"/>
    <x v="7"/>
    <s v="August"/>
    <x v="21"/>
    <n v="-11156.684000000001"/>
  </r>
  <r>
    <n v="2024"/>
    <n v="2627300000"/>
    <x v="8"/>
    <s v="September"/>
    <x v="21"/>
    <n v="-13266.536800000002"/>
  </r>
  <r>
    <n v="2024"/>
    <n v="2627300000"/>
    <x v="9"/>
    <s v="October"/>
    <x v="21"/>
    <n v="-6528.4340000000011"/>
  </r>
  <r>
    <n v="2024"/>
    <n v="2627300000"/>
    <x v="10"/>
    <s v="November"/>
    <x v="21"/>
    <n v="-12028.489000000001"/>
  </r>
  <r>
    <n v="2024"/>
    <n v="2627300000"/>
    <x v="11"/>
    <s v="December"/>
    <x v="21"/>
    <n v="-31238.467240750007"/>
  </r>
  <r>
    <n v="2024"/>
    <n v="2627100000"/>
    <x v="0"/>
    <s v="January"/>
    <x v="22"/>
    <n v="-5825.3423401250011"/>
  </r>
  <r>
    <n v="2024"/>
    <n v="2627100000"/>
    <x v="1"/>
    <s v="February"/>
    <x v="22"/>
    <n v="-1805.8392563750003"/>
  </r>
  <r>
    <n v="2024"/>
    <n v="2627100000"/>
    <x v="2"/>
    <s v="March"/>
    <x v="22"/>
    <n v="-9079.840000000002"/>
  </r>
  <r>
    <n v="2024"/>
    <n v="2627100000"/>
    <x v="3"/>
    <s v="April"/>
    <x v="22"/>
    <n v="-10433.467000000002"/>
  </r>
  <r>
    <n v="2024"/>
    <n v="2627100000"/>
    <x v="4"/>
    <s v="May"/>
    <x v="22"/>
    <n v="-10286.197900000001"/>
  </r>
  <r>
    <n v="2024"/>
    <n v="2627100000"/>
    <x v="5"/>
    <s v="June"/>
    <x v="22"/>
    <n v="-3214.2198000000008"/>
  </r>
  <r>
    <n v="2024"/>
    <n v="2627100000"/>
    <x v="6"/>
    <s v="July"/>
    <x v="22"/>
    <n v="-4135.187100000001"/>
  </r>
  <r>
    <n v="2024"/>
    <n v="2627100000"/>
    <x v="7"/>
    <s v="August"/>
    <x v="22"/>
    <n v="-2146.4432000000002"/>
  </r>
  <r>
    <n v="2024"/>
    <n v="2627100000"/>
    <x v="8"/>
    <s v="September"/>
    <x v="22"/>
    <n v="-2135.0813000000003"/>
  </r>
  <r>
    <n v="2024"/>
    <n v="2627100000"/>
    <x v="9"/>
    <s v="October"/>
    <x v="22"/>
    <n v="-11247.119400000001"/>
  </r>
  <r>
    <n v="2024"/>
    <n v="2627100000"/>
    <x v="10"/>
    <s v="November"/>
    <x v="22"/>
    <n v="-1803.5413000000003"/>
  </r>
  <r>
    <n v="2024"/>
    <n v="2627100000"/>
    <x v="11"/>
    <s v="December"/>
    <x v="22"/>
    <n v="-2119.2666000000004"/>
  </r>
  <r>
    <n v="2024"/>
    <n v="2601100200"/>
    <x v="0"/>
    <s v="January"/>
    <x v="23"/>
    <n v="-12827.642847250003"/>
  </r>
  <r>
    <n v="2024"/>
    <n v="2601100200"/>
    <x v="1"/>
    <s v="February"/>
    <x v="23"/>
    <n v="-8990.7802792500006"/>
  </r>
  <r>
    <n v="2024"/>
    <n v="2601100200"/>
    <x v="3"/>
    <s v="April"/>
    <x v="23"/>
    <n v="-3847.8000000000006"/>
  </r>
  <r>
    <n v="2024"/>
    <n v="2601100200"/>
    <x v="4"/>
    <s v="May"/>
    <x v="23"/>
    <n v="-7295.2231000000002"/>
  </r>
  <r>
    <n v="2024"/>
    <n v="2601100200"/>
    <x v="5"/>
    <s v="June"/>
    <x v="23"/>
    <n v="-7630.3810000000012"/>
  </r>
  <r>
    <n v="2024"/>
    <n v="2601100200"/>
    <x v="6"/>
    <s v="July"/>
    <x v="23"/>
    <n v="-10130.797600000002"/>
  </r>
  <r>
    <n v="2024"/>
    <n v="2601100200"/>
    <x v="7"/>
    <s v="August"/>
    <x v="23"/>
    <n v="-1985.7673000000004"/>
  </r>
  <r>
    <n v="2024"/>
    <n v="2601100200"/>
    <x v="9"/>
    <s v="October"/>
    <x v="23"/>
    <n v="-10368.163300000002"/>
  </r>
  <r>
    <n v="2024"/>
    <n v="2601100200"/>
    <x v="10"/>
    <s v="November"/>
    <x v="23"/>
    <n v="-5253.4328000000014"/>
  </r>
  <r>
    <n v="2024"/>
    <n v="2601100200"/>
    <x v="11"/>
    <s v="December"/>
    <x v="23"/>
    <n v="-6869.5330000000013"/>
  </r>
  <r>
    <n v="2024"/>
    <n v="2633100000"/>
    <x v="0"/>
    <s v="January"/>
    <x v="24"/>
    <n v="-71770.089737500006"/>
  </r>
  <r>
    <n v="2024"/>
    <n v="2633100000"/>
    <x v="1"/>
    <s v="February"/>
    <x v="24"/>
    <n v="-13956.64980325"/>
  </r>
  <r>
    <n v="2024"/>
    <n v="2633100000"/>
    <x v="5"/>
    <s v="June"/>
    <x v="24"/>
    <n v="-33073.329300000005"/>
  </r>
  <r>
    <n v="2024"/>
    <n v="2633100000"/>
    <x v="6"/>
    <s v="July"/>
    <x v="24"/>
    <n v="-8268.3293000000012"/>
  </r>
  <r>
    <n v="2024"/>
    <n v="2633100000"/>
    <x v="7"/>
    <s v="August"/>
    <x v="24"/>
    <n v="-8268.3293000000012"/>
  </r>
  <r>
    <n v="2024"/>
    <n v="2633100000"/>
    <x v="8"/>
    <s v="September"/>
    <x v="24"/>
    <n v="-8268.3293000000012"/>
  </r>
  <r>
    <n v="2024"/>
    <n v="2633100000"/>
    <x v="9"/>
    <s v="October"/>
    <x v="24"/>
    <n v="-8268.3293000000012"/>
  </r>
  <r>
    <n v="2024"/>
    <n v="2633100000"/>
    <x v="10"/>
    <s v="November"/>
    <x v="24"/>
    <n v="-8268.3293000000012"/>
  </r>
  <r>
    <n v="2024"/>
    <n v="2633100000"/>
    <x v="11"/>
    <s v="December"/>
    <x v="24"/>
    <n v="-8268.3293000000012"/>
  </r>
  <r>
    <n v="2024"/>
    <n v="2633600000"/>
    <x v="0"/>
    <s v="January"/>
    <x v="25"/>
    <n v="-26991.973556625006"/>
  </r>
  <r>
    <n v="2024"/>
    <n v="2633600000"/>
    <x v="1"/>
    <s v="February"/>
    <x v="25"/>
    <n v="-28304.255113750001"/>
  </r>
  <r>
    <n v="2024"/>
    <n v="2633600000"/>
    <x v="2"/>
    <s v="March"/>
    <x v="25"/>
    <n v="-27343.580000000005"/>
  </r>
  <r>
    <n v="2024"/>
    <n v="2633600000"/>
    <x v="3"/>
    <s v="April"/>
    <x v="25"/>
    <n v="-24900.348000000002"/>
  </r>
  <r>
    <n v="2024"/>
    <n v="2633600000"/>
    <x v="4"/>
    <s v="May"/>
    <x v="25"/>
    <n v="-26122.569000000007"/>
  </r>
  <r>
    <n v="2024"/>
    <n v="2633600000"/>
    <x v="5"/>
    <s v="June"/>
    <x v="25"/>
    <n v="-27268.221200000007"/>
  </r>
  <r>
    <n v="2024"/>
    <n v="2633600000"/>
    <x v="6"/>
    <s v="July"/>
    <x v="25"/>
    <n v="-31253.670800000007"/>
  </r>
  <r>
    <n v="2024"/>
    <n v="2633600000"/>
    <x v="7"/>
    <s v="August"/>
    <x v="25"/>
    <n v="-29210.198600000003"/>
  </r>
  <r>
    <n v="2024"/>
    <n v="2633600000"/>
    <x v="8"/>
    <s v="September"/>
    <x v="25"/>
    <n v="-26770.209400000003"/>
  </r>
  <r>
    <n v="2024"/>
    <n v="2633600000"/>
    <x v="9"/>
    <s v="October"/>
    <x v="25"/>
    <n v="-28728.921100000003"/>
  </r>
  <r>
    <n v="2024"/>
    <n v="2633600000"/>
    <x v="10"/>
    <s v="November"/>
    <x v="25"/>
    <n v="-30726.582700000003"/>
  </r>
  <r>
    <n v="2024"/>
    <n v="2633600000"/>
    <x v="11"/>
    <s v="December"/>
    <x v="25"/>
    <n v="-30158.354600000002"/>
  </r>
  <r>
    <n v="2024"/>
    <n v="2616100000"/>
    <x v="2"/>
    <s v="March"/>
    <x v="26"/>
    <n v="-36964.048000000003"/>
  </r>
  <r>
    <n v="2025"/>
    <n v="2003100005"/>
    <x v="12"/>
    <s v="January1"/>
    <x v="0"/>
    <n v="15587141.759999998"/>
  </r>
  <r>
    <n v="2025"/>
    <n v="2003100005"/>
    <x v="13"/>
    <s v="February1"/>
    <x v="0"/>
    <n v="21550395.090000004"/>
  </r>
  <r>
    <n v="2025"/>
    <n v="2003100005"/>
    <x v="14"/>
    <s v="March1"/>
    <x v="0"/>
    <n v="25921509.449999996"/>
  </r>
  <r>
    <n v="2025"/>
    <n v="2003100005"/>
    <x v="15"/>
    <s v="April1"/>
    <x v="0"/>
    <n v="19150184.419999998"/>
  </r>
  <r>
    <n v="2025"/>
    <n v="2003100005"/>
    <x v="16"/>
    <s v="May1"/>
    <x v="0"/>
    <n v="20358143.84"/>
  </r>
  <r>
    <n v="2025"/>
    <n v="2003100005"/>
    <x v="17"/>
    <s v="June1"/>
    <x v="0"/>
    <n v="18521907.539999999"/>
  </r>
  <r>
    <n v="2025"/>
    <n v="2003100006"/>
    <x v="12"/>
    <s v="January1"/>
    <x v="1"/>
    <n v="1162130.4500000002"/>
  </r>
  <r>
    <n v="2025"/>
    <n v="2003100006"/>
    <x v="13"/>
    <s v="February1"/>
    <x v="1"/>
    <n v="1375683.25"/>
  </r>
  <r>
    <n v="2025"/>
    <n v="2003100006"/>
    <x v="14"/>
    <s v="March1"/>
    <x v="1"/>
    <n v="1741665.93"/>
  </r>
  <r>
    <n v="2025"/>
    <n v="2003100006"/>
    <x v="15"/>
    <s v="April1"/>
    <x v="1"/>
    <n v="1276638.8700000001"/>
  </r>
  <r>
    <n v="2025"/>
    <n v="2003100006"/>
    <x v="16"/>
    <s v="May1"/>
    <x v="1"/>
    <n v="1297552.5299999998"/>
  </r>
  <r>
    <n v="2025"/>
    <n v="2003100006"/>
    <x v="17"/>
    <s v="June1"/>
    <x v="1"/>
    <n v="1173863.2000000002"/>
  </r>
  <r>
    <n v="2025"/>
    <n v="2003100007"/>
    <x v="12"/>
    <s v="January1"/>
    <x v="2"/>
    <n v="1520904.79"/>
  </r>
  <r>
    <n v="2025"/>
    <n v="2003100007"/>
    <x v="13"/>
    <s v="February1"/>
    <x v="2"/>
    <n v="1165766.1599999999"/>
  </r>
  <r>
    <n v="2025"/>
    <n v="2003100007"/>
    <x v="14"/>
    <s v="March1"/>
    <x v="2"/>
    <n v="1397252.56"/>
  </r>
  <r>
    <n v="2025"/>
    <n v="2003100007"/>
    <x v="15"/>
    <s v="April1"/>
    <x v="2"/>
    <n v="1562865.42"/>
  </r>
  <r>
    <n v="2025"/>
    <n v="2003100007"/>
    <x v="16"/>
    <s v="May1"/>
    <x v="2"/>
    <n v="1748359.82"/>
  </r>
  <r>
    <n v="2025"/>
    <n v="2003100007"/>
    <x v="17"/>
    <s v="June1"/>
    <x v="2"/>
    <n v="1444158.71"/>
  </r>
  <r>
    <n v="2025"/>
    <n v="2211200001"/>
    <x v="12"/>
    <s v="January1"/>
    <x v="3"/>
    <n v="-9511517.2004292104"/>
  </r>
  <r>
    <n v="2025"/>
    <n v="2211200001"/>
    <x v="13"/>
    <s v="February1"/>
    <x v="3"/>
    <n v="-13135651.094679004"/>
  </r>
  <r>
    <n v="2025"/>
    <n v="2211200001"/>
    <x v="14"/>
    <s v="March1"/>
    <x v="3"/>
    <n v="-15677777.382166883"/>
  </r>
  <r>
    <n v="2025"/>
    <n v="2211200001"/>
    <x v="15"/>
    <s v="April1"/>
    <x v="3"/>
    <n v="-11529761.10350487"/>
  </r>
  <r>
    <n v="2025"/>
    <n v="2211200001"/>
    <x v="16"/>
    <s v="May1"/>
    <x v="3"/>
    <n v="-12207980.403199045"/>
  </r>
  <r>
    <n v="2025"/>
    <n v="2211200001"/>
    <x v="17"/>
    <s v="June1"/>
    <x v="3"/>
    <n v="-11216653.512991706"/>
  </r>
  <r>
    <n v="2025"/>
    <n v="2211200002"/>
    <x v="12"/>
    <s v="January1"/>
    <x v="4"/>
    <n v="-729894.78932666406"/>
  </r>
  <r>
    <n v="2025"/>
    <n v="2211200002"/>
    <x v="13"/>
    <s v="February1"/>
    <x v="4"/>
    <n v="-860147.62850186089"/>
  </r>
  <r>
    <n v="2025"/>
    <n v="2211200002"/>
    <x v="14"/>
    <s v="March1"/>
    <x v="4"/>
    <n v="-1085322.4078376205"/>
  </r>
  <r>
    <n v="2025"/>
    <n v="2211200002"/>
    <x v="15"/>
    <s v="April1"/>
    <x v="4"/>
    <n v="-790838.16351295868"/>
  </r>
  <r>
    <n v="2025"/>
    <n v="2211200002"/>
    <x v="16"/>
    <s v="May1"/>
    <x v="4"/>
    <n v="-806592.5920911869"/>
  </r>
  <r>
    <n v="2025"/>
    <n v="2211200002"/>
    <x v="17"/>
    <s v="June1"/>
    <x v="4"/>
    <n v="-734792.92918374401"/>
  </r>
  <r>
    <n v="2025"/>
    <n v="2211200003"/>
    <x v="12"/>
    <s v="January1"/>
    <x v="5"/>
    <n v="-927464.07947095949"/>
  </r>
  <r>
    <n v="2025"/>
    <n v="2211200003"/>
    <x v="13"/>
    <s v="February1"/>
    <x v="5"/>
    <n v="-705415.86234208697"/>
  </r>
  <r>
    <n v="2025"/>
    <n v="2211200003"/>
    <x v="14"/>
    <s v="March1"/>
    <x v="5"/>
    <n v="-844968.03555313603"/>
  </r>
  <r>
    <n v="2025"/>
    <n v="2211200003"/>
    <x v="15"/>
    <s v="April1"/>
    <x v="5"/>
    <n v="-951185.12176403822"/>
  </r>
  <r>
    <n v="2025"/>
    <n v="2211200003"/>
    <x v="16"/>
    <s v="May1"/>
    <x v="5"/>
    <n v="-1063118.2467180912"/>
  </r>
  <r>
    <n v="2025"/>
    <n v="2211200003"/>
    <x v="17"/>
    <s v="June1"/>
    <x v="5"/>
    <n v="-883462.24840680009"/>
  </r>
  <r>
    <n v="2025"/>
    <n v="2201201000"/>
    <x v="12"/>
    <s v="January1"/>
    <x v="6"/>
    <n v="-11611.850274976412"/>
  </r>
  <r>
    <n v="2025"/>
    <n v="2201201000"/>
    <x v="13"/>
    <s v="February1"/>
    <x v="6"/>
    <n v="-8922.8193539330478"/>
  </r>
  <r>
    <n v="2025"/>
    <n v="2201201000"/>
    <x v="14"/>
    <s v="March1"/>
    <x v="6"/>
    <n v="-10794.897760331902"/>
  </r>
  <r>
    <n v="2025"/>
    <n v="2201201000"/>
    <x v="15"/>
    <s v="April1"/>
    <x v="6"/>
    <n v="-12371.126846267103"/>
  </r>
  <r>
    <n v="2025"/>
    <n v="2201201000"/>
    <x v="16"/>
    <s v="May1"/>
    <x v="6"/>
    <n v="-13693.74107909236"/>
  </r>
  <r>
    <n v="2025"/>
    <n v="2201201000"/>
    <x v="17"/>
    <s v="June1"/>
    <x v="6"/>
    <n v="-11170.573158653138"/>
  </r>
  <r>
    <n v="2025"/>
    <n v="2690200007"/>
    <x v="12"/>
    <s v="January1"/>
    <x v="7"/>
    <n v="-329966.84307302831"/>
  </r>
  <r>
    <n v="2025"/>
    <n v="2690200007"/>
    <x v="13"/>
    <s v="February1"/>
    <x v="7"/>
    <n v="-444477.28743122064"/>
  </r>
  <r>
    <n v="2025"/>
    <n v="2690200007"/>
    <x v="14"/>
    <s v="March1"/>
    <x v="7"/>
    <n v="-530386.95979647711"/>
  </r>
  <r>
    <n v="2025"/>
    <n v="2690200007"/>
    <x v="15"/>
    <s v="April1"/>
    <x v="7"/>
    <n v="-380806.02657311741"/>
  </r>
  <r>
    <n v="2025"/>
    <n v="2690200007"/>
    <x v="16"/>
    <s v="May1"/>
    <x v="7"/>
    <n v="-409564.1491219647"/>
  </r>
  <r>
    <n v="2025"/>
    <n v="2690200007"/>
    <x v="17"/>
    <s v="June1"/>
    <x v="7"/>
    <n v="-367756.22248826141"/>
  </r>
  <r>
    <n v="2025"/>
    <n v="2690200010"/>
    <x v="12"/>
    <s v="January1"/>
    <x v="8"/>
    <n v="-74250.497054608073"/>
  </r>
  <r>
    <n v="2025"/>
    <n v="2690200010"/>
    <x v="13"/>
    <s v="February1"/>
    <x v="8"/>
    <n v="-90525.201571920741"/>
  </r>
  <r>
    <n v="2025"/>
    <n v="2690200010"/>
    <x v="14"/>
    <s v="March1"/>
    <x v="8"/>
    <n v="-120810.01492454309"/>
  </r>
  <r>
    <n v="2025"/>
    <n v="2690200010"/>
    <x v="15"/>
    <s v="April1"/>
    <x v="8"/>
    <n v="-111996.59830255566"/>
  </r>
  <r>
    <n v="2025"/>
    <n v="2690200010"/>
    <x v="16"/>
    <s v="May1"/>
    <x v="8"/>
    <n v="-114779.62223885756"/>
  </r>
  <r>
    <n v="2025"/>
    <n v="2690200010"/>
    <x v="17"/>
    <s v="June1"/>
    <x v="8"/>
    <n v="-104151.2659339878"/>
  </r>
  <r>
    <n v="2025"/>
    <n v="2532300000"/>
    <x v="12"/>
    <s v="January1"/>
    <x v="9"/>
    <n v="-1830023.9135537171"/>
  </r>
  <r>
    <n v="2025"/>
    <n v="2532300000"/>
    <x v="13"/>
    <s v="February1"/>
    <x v="9"/>
    <n v="-2405737.6774740806"/>
  </r>
  <r>
    <n v="2025"/>
    <n v="2532300000"/>
    <x v="14"/>
    <s v="March1"/>
    <x v="9"/>
    <n v="-2768479.8280276647"/>
  </r>
  <r>
    <n v="2025"/>
    <n v="2532300000"/>
    <x v="15"/>
    <s v="April1"/>
    <x v="9"/>
    <n v="-2084666.5777848272"/>
  </r>
  <r>
    <n v="2025"/>
    <n v="2532300000"/>
    <x v="16"/>
    <s v="May1"/>
    <x v="9"/>
    <n v="-2202174.6291354145"/>
  </r>
  <r>
    <n v="2025"/>
    <n v="2532300000"/>
    <x v="17"/>
    <s v="June1"/>
    <x v="9"/>
    <n v="-1982751.8174181338"/>
  </r>
  <r>
    <n v="2025"/>
    <n v="2530200000"/>
    <x v="12"/>
    <s v="January1"/>
    <x v="10"/>
    <n v="-2778072.4982260326"/>
  </r>
  <r>
    <n v="2025"/>
    <n v="2530200000"/>
    <x v="13"/>
    <s v="February1"/>
    <x v="10"/>
    <n v="-3677847.7712706476"/>
  </r>
  <r>
    <n v="2025"/>
    <n v="2530200000"/>
    <x v="14"/>
    <s v="March1"/>
    <x v="10"/>
    <n v="-4284234.8750721337"/>
  </r>
  <r>
    <n v="2025"/>
    <n v="2530200000"/>
    <x v="15"/>
    <s v="April1"/>
    <x v="10"/>
    <n v="-3178369.075623937"/>
  </r>
  <r>
    <n v="2025"/>
    <n v="2530200000"/>
    <x v="16"/>
    <s v="May1"/>
    <x v="10"/>
    <n v="-3385070.5480162837"/>
  </r>
  <r>
    <n v="2025"/>
    <n v="2530200000"/>
    <x v="17"/>
    <s v="June1"/>
    <x v="10"/>
    <n v="-3050680.7288258751"/>
  </r>
  <r>
    <n v="2025"/>
    <n v="2530300000"/>
    <x v="12"/>
    <s v="January1"/>
    <x v="11"/>
    <n v="-156074.8880086717"/>
  </r>
  <r>
    <n v="2025"/>
    <n v="2530300000"/>
    <x v="13"/>
    <s v="February1"/>
    <x v="11"/>
    <n v="-140392.53312412635"/>
  </r>
  <r>
    <n v="2025"/>
    <n v="2530300000"/>
    <x v="14"/>
    <s v="March1"/>
    <x v="11"/>
    <n v="-180733.35611055975"/>
  </r>
  <r>
    <n v="2025"/>
    <n v="2530300000"/>
    <x v="15"/>
    <s v="April1"/>
    <x v="11"/>
    <n v="-163355.03418914252"/>
  </r>
  <r>
    <n v="2025"/>
    <n v="2530300000"/>
    <x v="16"/>
    <s v="May1"/>
    <x v="11"/>
    <n v="-185825.34447021439"/>
  </r>
  <r>
    <n v="2025"/>
    <n v="2530300000"/>
    <x v="17"/>
    <s v="June1"/>
    <x v="11"/>
    <n v="-148540.53177824614"/>
  </r>
  <r>
    <n v="2025"/>
    <n v="2400210100"/>
    <x v="12"/>
    <s v="January1"/>
    <x v="12"/>
    <n v="-1542025.3909785931"/>
  </r>
  <r>
    <n v="2025"/>
    <n v="2400210100"/>
    <x v="13"/>
    <s v="February1"/>
    <x v="12"/>
    <n v="-1561231.0370585187"/>
  </r>
  <r>
    <n v="2025"/>
    <n v="2400210100"/>
    <x v="14"/>
    <s v="March1"/>
    <x v="12"/>
    <n v="-1543421.3917061251"/>
  </r>
  <r>
    <n v="2025"/>
    <n v="2400210100"/>
    <x v="15"/>
    <s v="April1"/>
    <x v="12"/>
    <n v="-1559364.2245044285"/>
  </r>
  <r>
    <n v="2025"/>
    <n v="2400210100"/>
    <x v="16"/>
    <s v="May1"/>
    <x v="12"/>
    <n v="-1549069.9559610896"/>
  </r>
  <r>
    <n v="2025"/>
    <n v="2400210100"/>
    <x v="17"/>
    <s v="June1"/>
    <x v="12"/>
    <n v="-1552312.410868014"/>
  </r>
  <r>
    <n v="2025"/>
    <n v="2400210200"/>
    <x v="12"/>
    <s v="January1"/>
    <x v="13"/>
    <n v="-415.55055742033682"/>
  </r>
  <r>
    <n v="2025"/>
    <n v="2400210200"/>
    <x v="13"/>
    <s v="February1"/>
    <x v="13"/>
    <n v="-434.61418857232928"/>
  </r>
  <r>
    <n v="2025"/>
    <n v="2400210200"/>
    <x v="14"/>
    <s v="March1"/>
    <x v="13"/>
    <n v="-20457.160535096336"/>
  </r>
  <r>
    <n v="2025"/>
    <n v="2400210200"/>
    <x v="15"/>
    <s v="April1"/>
    <x v="13"/>
    <n v="-769.53963193034656"/>
  </r>
  <r>
    <n v="2025"/>
    <n v="2400210200"/>
    <x v="16"/>
    <s v="May1"/>
    <x v="13"/>
    <n v="-580.92697704545765"/>
  </r>
  <r>
    <n v="2025"/>
    <n v="2400210200"/>
    <x v="17"/>
    <s v="June1"/>
    <x v="13"/>
    <n v="-8439.6192744227756"/>
  </r>
  <r>
    <n v="2025"/>
    <n v="2400210120"/>
    <x v="12"/>
    <s v="January1"/>
    <x v="14"/>
    <n v="-31278.816368824017"/>
  </r>
  <r>
    <n v="2025"/>
    <n v="2400210120"/>
    <x v="13"/>
    <s v="February1"/>
    <x v="14"/>
    <n v="-31668.388343768856"/>
  </r>
  <r>
    <n v="2025"/>
    <n v="2400210120"/>
    <x v="14"/>
    <s v="March1"/>
    <x v="14"/>
    <n v="-31307.133185565603"/>
  </r>
  <r>
    <n v="2025"/>
    <n v="2400210120"/>
    <x v="15"/>
    <s v="April1"/>
    <x v="14"/>
    <n v="-31630.52146594958"/>
  </r>
  <r>
    <n v="2025"/>
    <n v="2400210120"/>
    <x v="16"/>
    <s v="May1"/>
    <x v="14"/>
    <n v="-31421.710030481503"/>
  </r>
  <r>
    <n v="2025"/>
    <n v="2400210120"/>
    <x v="17"/>
    <s v="June1"/>
    <x v="14"/>
    <n v="-31487.480770841059"/>
  </r>
  <r>
    <n v="2025"/>
    <n v="2546100100"/>
    <x v="12"/>
    <s v="January1"/>
    <x v="15"/>
    <n v="-359256.31929000001"/>
  </r>
  <r>
    <n v="2025"/>
    <n v="2546100100"/>
    <x v="13"/>
    <s v="February1"/>
    <x v="15"/>
    <n v="-369330.92676575581"/>
  </r>
  <r>
    <n v="2025"/>
    <n v="2546100100"/>
    <x v="14"/>
    <s v="March1"/>
    <x v="15"/>
    <n v="-425180.18966605875"/>
  </r>
  <r>
    <n v="2025"/>
    <n v="2546100100"/>
    <x v="15"/>
    <s v="April1"/>
    <x v="15"/>
    <n v="-358492.33783221879"/>
  </r>
  <r>
    <n v="2025"/>
    <n v="2546100100"/>
    <x v="16"/>
    <s v="May1"/>
    <x v="15"/>
    <n v="-303859.33126635099"/>
  </r>
  <r>
    <n v="2025"/>
    <n v="2546100100"/>
    <x v="17"/>
    <s v="June1"/>
    <x v="15"/>
    <n v="-286833.30015779997"/>
  </r>
  <r>
    <n v="2025"/>
    <n v="2544601400"/>
    <x v="12"/>
    <s v="January1"/>
    <x v="16"/>
    <n v="-120743.03726100002"/>
  </r>
  <r>
    <n v="2025"/>
    <n v="2544601400"/>
    <x v="13"/>
    <s v="February1"/>
    <x v="16"/>
    <n v="-128562.52376125654"/>
  </r>
  <r>
    <n v="2025"/>
    <n v="2544601400"/>
    <x v="14"/>
    <s v="March1"/>
    <x v="16"/>
    <n v="-132254.70154772289"/>
  </r>
  <r>
    <n v="2025"/>
    <n v="2544601400"/>
    <x v="15"/>
    <s v="April1"/>
    <x v="16"/>
    <n v="-131225.52788252197"/>
  </r>
  <r>
    <n v="2025"/>
    <n v="2544601400"/>
    <x v="16"/>
    <s v="May1"/>
    <x v="16"/>
    <n v="-113819.14772511229"/>
  </r>
  <r>
    <n v="2025"/>
    <n v="2544601400"/>
    <x v="17"/>
    <s v="June1"/>
    <x v="16"/>
    <n v="-108185.12812800003"/>
  </r>
  <r>
    <n v="2025"/>
    <n v="2544600140"/>
    <x v="12"/>
    <s v="January1"/>
    <x v="17"/>
    <n v="-77803.449273000006"/>
  </r>
  <r>
    <n v="2025"/>
    <n v="2544600140"/>
    <x v="13"/>
    <s v="February1"/>
    <x v="17"/>
    <n v="-90917.016300000018"/>
  </r>
  <r>
    <n v="2025"/>
    <n v="2544600140"/>
    <x v="14"/>
    <s v="March1"/>
    <x v="17"/>
    <n v="-108164.70699812661"/>
  </r>
  <r>
    <n v="2025"/>
    <n v="2544600140"/>
    <x v="15"/>
    <s v="April1"/>
    <x v="17"/>
    <n v="-142914.88007725426"/>
  </r>
  <r>
    <n v="2025"/>
    <n v="2544600140"/>
    <x v="16"/>
    <s v="May1"/>
    <x v="17"/>
    <n v="-133451.56798714478"/>
  </r>
  <r>
    <n v="2025"/>
    <n v="2544600140"/>
    <x v="17"/>
    <s v="June1"/>
    <x v="17"/>
    <n v="-144759.45764610005"/>
  </r>
  <r>
    <n v="2025"/>
    <n v="2544600120"/>
    <x v="12"/>
    <s v="January1"/>
    <x v="18"/>
    <n v="-12718.715229000001"/>
  </r>
  <r>
    <n v="2025"/>
    <n v="2544600120"/>
    <x v="13"/>
    <s v="February1"/>
    <x v="18"/>
    <n v="-13651.578459708369"/>
  </r>
  <r>
    <n v="2025"/>
    <n v="2544600120"/>
    <x v="14"/>
    <s v="March1"/>
    <x v="18"/>
    <n v="-16336.879192012504"/>
  </r>
  <r>
    <n v="2025"/>
    <n v="2544600120"/>
    <x v="15"/>
    <s v="April1"/>
    <x v="18"/>
    <n v="-15475.386891739785"/>
  </r>
  <r>
    <n v="2025"/>
    <n v="2544600120"/>
    <x v="16"/>
    <s v="May1"/>
    <x v="18"/>
    <n v="-11421.3553828605"/>
  </r>
  <r>
    <n v="2025"/>
    <n v="2544600120"/>
    <x v="17"/>
    <s v="June1"/>
    <x v="18"/>
    <n v="-12351.666690000002"/>
  </r>
  <r>
    <n v="2025"/>
    <n v="2544600170"/>
    <x v="12"/>
    <s v="January1"/>
    <x v="19"/>
    <n v="-2632.9842000000003"/>
  </r>
  <r>
    <n v="2025"/>
    <n v="2544600170"/>
    <x v="13"/>
    <s v="February1"/>
    <x v="19"/>
    <n v="-2560.9757513725699"/>
  </r>
  <r>
    <n v="2025"/>
    <n v="2544600170"/>
    <x v="14"/>
    <s v="March1"/>
    <x v="19"/>
    <n v="-2620.5616775250001"/>
  </r>
  <r>
    <n v="2025"/>
    <n v="2544600170"/>
    <x v="15"/>
    <s v="April1"/>
    <x v="19"/>
    <n v="-3759.3345729041562"/>
  </r>
  <r>
    <n v="2025"/>
    <n v="2544600170"/>
    <x v="16"/>
    <s v="May1"/>
    <x v="19"/>
    <n v="-3757.0973813010005"/>
  </r>
  <r>
    <n v="2025"/>
    <n v="2544600170"/>
    <x v="17"/>
    <s v="June1"/>
    <x v="19"/>
    <n v="-3807.1657800000003"/>
  </r>
  <r>
    <n v="2025"/>
    <n v="2561400000"/>
    <x v="12"/>
    <s v="January1"/>
    <x v="20"/>
    <n v="-96777.789966000011"/>
  </r>
  <r>
    <n v="2025"/>
    <n v="2561400000"/>
    <x v="13"/>
    <s v="February1"/>
    <x v="20"/>
    <n v="-96777.789966000011"/>
  </r>
  <r>
    <n v="2025"/>
    <n v="2561400000"/>
    <x v="14"/>
    <s v="March1"/>
    <x v="20"/>
    <n v="-96777.789966000011"/>
  </r>
  <r>
    <n v="2025"/>
    <n v="2561400000"/>
    <x v="15"/>
    <s v="April1"/>
    <x v="20"/>
    <n v="-96777.789966000011"/>
  </r>
  <r>
    <n v="2025"/>
    <n v="2561400000"/>
    <x v="16"/>
    <s v="May1"/>
    <x v="20"/>
    <n v="-96777.789966000011"/>
  </r>
  <r>
    <n v="2025"/>
    <n v="2561400000"/>
    <x v="17"/>
    <s v="June1"/>
    <x v="20"/>
    <n v="-96777.789966000011"/>
  </r>
  <r>
    <n v="2025"/>
    <n v="2627300000"/>
    <x v="12"/>
    <s v="January1"/>
    <x v="21"/>
    <n v="-11847.925782000002"/>
  </r>
  <r>
    <n v="2025"/>
    <n v="2627300000"/>
    <x v="13"/>
    <s v="February1"/>
    <x v="21"/>
    <n v="-8517.8596140000009"/>
  </r>
  <r>
    <n v="2025"/>
    <n v="2627300000"/>
    <x v="14"/>
    <s v="March1"/>
    <x v="21"/>
    <n v="-2207.6099100000006"/>
  </r>
  <r>
    <n v="2025"/>
    <n v="2627300000"/>
    <x v="15"/>
    <s v="April1"/>
    <x v="21"/>
    <n v="-7067.7178110000013"/>
  </r>
  <r>
    <n v="2025"/>
    <n v="2627300000"/>
    <x v="16"/>
    <s v="May1"/>
    <x v="21"/>
    <n v="-12834.947466000003"/>
  </r>
  <r>
    <n v="2025"/>
    <n v="2627300000"/>
    <x v="17"/>
    <s v="June1"/>
    <x v="21"/>
    <n v="-22129.992621000005"/>
  </r>
  <r>
    <n v="2025"/>
    <n v="2627100000"/>
    <x v="12"/>
    <s v="January1"/>
    <x v="22"/>
    <n v="-5832.7068690000006"/>
  </r>
  <r>
    <n v="2025"/>
    <n v="2627100000"/>
    <x v="13"/>
    <s v="February1"/>
    <x v="22"/>
    <n v="-1808.1222390000003"/>
  </r>
  <r>
    <n v="2025"/>
    <n v="2627100000"/>
    <x v="14"/>
    <s v="March1"/>
    <x v="22"/>
    <n v="-7327.0032660000015"/>
  </r>
  <r>
    <n v="2025"/>
    <n v="2627100000"/>
    <x v="15"/>
    <s v="April1"/>
    <x v="22"/>
    <n v="-7621.5548970000018"/>
  </r>
  <r>
    <n v="2025"/>
    <n v="2627100000"/>
    <x v="16"/>
    <s v="May1"/>
    <x v="22"/>
    <n v="-2082.0939480000002"/>
  </r>
  <r>
    <n v="2025"/>
    <n v="2627100000"/>
    <x v="17"/>
    <s v="June1"/>
    <x v="22"/>
    <n v="-2059.214058"/>
  </r>
  <r>
    <n v="2025"/>
    <n v="2601100200"/>
    <x v="12"/>
    <s v="January1"/>
    <x v="23"/>
    <n v="-12843.859842000002"/>
  </r>
  <r>
    <n v="2025"/>
    <n v="2601100200"/>
    <x v="13"/>
    <s v="February1"/>
    <x v="23"/>
    <n v="-9002.1466260000016"/>
  </r>
  <r>
    <n v="2025"/>
    <n v="2601100200"/>
    <x v="14"/>
    <s v="March1"/>
    <x v="23"/>
    <n v="-674.07030900000018"/>
  </r>
  <r>
    <n v="2025"/>
    <n v="2601100200"/>
    <x v="15"/>
    <s v="April1"/>
    <x v="23"/>
    <n v="-782.94744000000003"/>
  </r>
  <r>
    <n v="2025"/>
    <n v="2601100200"/>
    <x v="16"/>
    <s v="May1"/>
    <x v="23"/>
    <n v="-1103.4935010000002"/>
  </r>
  <r>
    <n v="2025"/>
    <n v="2601100200"/>
    <x v="17"/>
    <s v="June1"/>
    <x v="23"/>
    <n v="-4852.5611310000004"/>
  </r>
  <r>
    <n v="2025"/>
    <n v="2633100000"/>
    <x v="12"/>
    <s v="January1"/>
    <x v="24"/>
    <n v="-71860.823100000009"/>
  </r>
  <r>
    <n v="2025"/>
    <n v="2633100000"/>
    <x v="13"/>
    <s v="February1"/>
    <x v="24"/>
    <n v="-13974.294114"/>
  </r>
  <r>
    <n v="2025"/>
    <n v="2633100000"/>
    <x v="14"/>
    <s v="March1"/>
    <x v="24"/>
    <n v="-9383.5460070000008"/>
  </r>
  <r>
    <n v="2025"/>
    <n v="2633100000"/>
    <x v="15"/>
    <s v="April1"/>
    <x v="24"/>
    <n v="-10880.322057000001"/>
  </r>
  <r>
    <n v="2025"/>
    <n v="2633100000"/>
    <x v="16"/>
    <s v="May1"/>
    <x v="24"/>
    <n v="-10131.934032000001"/>
  </r>
  <r>
    <n v="2025"/>
    <n v="2633100000"/>
    <x v="17"/>
    <s v="June1"/>
    <x v="24"/>
    <n v="-10131.934032000001"/>
  </r>
  <r>
    <n v="2025"/>
    <n v="2633600000"/>
    <x v="12"/>
    <s v="January1"/>
    <x v="25"/>
    <n v="-27026.097417000004"/>
  </r>
  <r>
    <n v="2025"/>
    <n v="2633600000"/>
    <x v="13"/>
    <s v="February1"/>
    <x v="25"/>
    <n v="-28340.037990000004"/>
  </r>
  <r>
    <n v="2025"/>
    <n v="2633600000"/>
    <x v="14"/>
    <s v="March1"/>
    <x v="25"/>
    <n v="-28256.017284000001"/>
  </r>
  <r>
    <n v="2025"/>
    <n v="2633600000"/>
    <x v="15"/>
    <s v="April1"/>
    <x v="25"/>
    <n v="-25741.912680000005"/>
  </r>
  <r>
    <n v="2025"/>
    <n v="2633600000"/>
    <x v="16"/>
    <s v="May1"/>
    <x v="25"/>
    <n v="-24393.041343000004"/>
  </r>
  <r>
    <n v="2025"/>
    <n v="2633600000"/>
    <x v="17"/>
    <s v="June1"/>
    <x v="25"/>
    <n v="-25141.213746000005"/>
  </r>
  <r>
    <n v="2025"/>
    <n v="2616100000"/>
    <x v="14"/>
    <s v="March1"/>
    <x v="26"/>
    <n v="-38153.6780130000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2003100005"/>
    <n v="15253265.183500798"/>
    <n v="21088785.627172202"/>
    <n v="28741335.630000003"/>
    <n v="26580932.569999997"/>
    <n v="23988357.32"/>
    <n v="19024409.09"/>
    <n v="14219294.350000001"/>
    <n v="17479568.300000001"/>
    <n v="30454508.600000001"/>
    <n v="27409176.349999998"/>
    <n v="29731107.890000001"/>
    <n v="28260518.369999997"/>
    <n v="0"/>
    <n v="0"/>
    <n v="0"/>
    <n v="0"/>
    <n v="0"/>
    <n v="0"/>
    <n v="282231259.28067303"/>
    <x v="0"/>
  </r>
  <r>
    <x v="0"/>
    <n v="2003100006"/>
    <n v="1147673.5472020002"/>
    <n v="1358569.75037"/>
    <n v="1865549.31"/>
    <n v="1798306.99"/>
    <n v="1442012.0299999998"/>
    <n v="1276426.21"/>
    <n v="924149.82000000007"/>
    <n v="1275012.28"/>
    <n v="1870121.79"/>
    <n v="1872141.15"/>
    <n v="2161137.13"/>
    <n v="1688403.08"/>
    <n v="0"/>
    <n v="0"/>
    <n v="0"/>
    <n v="0"/>
    <n v="0"/>
    <n v="0"/>
    <n v="18679503.087572001"/>
    <x v="1"/>
  </r>
  <r>
    <x v="0"/>
    <n v="2003100007"/>
    <n v="1501984.7344124001"/>
    <n v="1151264.0289695999"/>
    <n v="1470333.47"/>
    <n v="1628563.6500000001"/>
    <n v="1562604.23"/>
    <n v="1485195.23"/>
    <n v="1131820.5599999998"/>
    <n v="821780.29"/>
    <n v="1303688.0299999998"/>
    <n v="1535434.2"/>
    <n v="1544790.7000000002"/>
    <n v="1497762.41"/>
    <n v="0"/>
    <n v="0"/>
    <n v="0"/>
    <n v="0"/>
    <n v="0"/>
    <n v="0"/>
    <n v="16635221.533382002"/>
    <x v="2"/>
  </r>
  <r>
    <x v="0"/>
    <n v="2211200001"/>
    <n v="-9336788.7345072329"/>
    <n v="-12888477.307886396"/>
    <n v="-17560389.519540392"/>
    <n v="-16154015.034733448"/>
    <n v="-14572287.713533852"/>
    <n v="-11649164.578394977"/>
    <n v="-8686540.3381481916"/>
    <n v="-10685746.351340942"/>
    <n v="-18480801.116032291"/>
    <n v="-16614971.979088241"/>
    <n v="-18080349.897248216"/>
    <n v="-17253623.790924061"/>
    <n v="0"/>
    <n v="0"/>
    <n v="0"/>
    <n v="0"/>
    <n v="0"/>
    <n v="0"/>
    <n v="-171963156.36137822"/>
    <x v="3"/>
  </r>
  <r>
    <x v="0"/>
    <n v="2211200002"/>
    <n v="-723645.01494004123"/>
    <n v="-851880.0874124564"/>
    <n v="-1172064.4363036081"/>
    <n v="-1119928.4824158766"/>
    <n v="-903671.5366455121"/>
    <n v="-811095.8285900976"/>
    <n v="-590189.53394671693"/>
    <n v="-805823.52410282835"/>
    <n v="-1178510.9915419267"/>
    <n v="-1166665.5965778399"/>
    <n v="-1349251.958093368"/>
    <n v="-1055502.7897308101"/>
    <n v="0"/>
    <n v="0"/>
    <n v="0"/>
    <n v="0"/>
    <n v="0"/>
    <n v="0"/>
    <n v="-11728229.780301083"/>
    <x v="4"/>
  </r>
  <r>
    <x v="0"/>
    <n v="2211200003"/>
    <n v="-927479.00660414749"/>
    <n v="-704715.47410218394"/>
    <n v="-891741.66147497704"/>
    <n v="-997120.07745444344"/>
    <n v="-960150.55309049494"/>
    <n v="-920083.11247849581"/>
    <n v="-707533.22756387549"/>
    <n v="-510035.97374145529"/>
    <n v="-798532.1424569916"/>
    <n v="-934751.90993476647"/>
    <n v="-940569.68295495713"/>
    <n v="-919269.08173384296"/>
    <n v="0"/>
    <n v="0"/>
    <n v="0"/>
    <n v="0"/>
    <n v="0"/>
    <n v="0"/>
    <n v="-10211981.903590633"/>
    <x v="5"/>
  </r>
  <r>
    <x v="0"/>
    <n v="2201201000"/>
    <n v="-11398.766246217199"/>
    <n v="-8839.5312757342381"/>
    <n v="-11413.751431754767"/>
    <n v="-12483.943369729634"/>
    <n v="-11682.298274725941"/>
    <n v="-11405.38670121858"/>
    <n v="-8858.3160090997208"/>
    <n v="-6168.2206145791097"/>
    <n v="-9898.6360629322153"/>
    <n v="-11587.221695428991"/>
    <n v="-11659.33904019412"/>
    <n v="-11282.471231553485"/>
    <n v="0"/>
    <n v="0"/>
    <n v="0"/>
    <n v="0"/>
    <n v="0"/>
    <n v="0"/>
    <n v="-126677.88195316801"/>
    <x v="6"/>
  </r>
  <r>
    <x v="0"/>
    <n v="2690200007"/>
    <n v="-317875.15393591078"/>
    <n v="-409768.75901953521"/>
    <n v="-568307.7391289206"/>
    <n v="-511261.6976856743"/>
    <n v="-467668.52780748886"/>
    <n v="-381856.68402023375"/>
    <n v="-285451.89651801134"/>
    <n v="-344870.89313454035"/>
    <n v="-596806.46392799029"/>
    <n v="-546218.24839118612"/>
    <n v="-589848.29245393933"/>
    <n v="-565735.57611375523"/>
    <n v="0"/>
    <n v="0"/>
    <n v="0"/>
    <n v="0"/>
    <n v="0"/>
    <n v="0"/>
    <n v="-5585669.9321371857"/>
    <x v="7"/>
  </r>
  <r>
    <x v="0"/>
    <n v="2690200010"/>
    <n v="-67059.167186793871"/>
    <n v="-87119.241687380854"/>
    <n v="-123829.24404732311"/>
    <n v="-118127.48462381828"/>
    <n v="-111368.19520867856"/>
    <n v="-89145.294525000019"/>
    <n v="-65228.702607886691"/>
    <n v="-72627.05919597407"/>
    <n v="-113058.288"/>
    <n v="-120163.84583953067"/>
    <n v="-120876.87312739773"/>
    <n v="-106978.35630500953"/>
    <n v="0"/>
    <n v="0"/>
    <n v="0"/>
    <n v="0"/>
    <n v="0"/>
    <n v="0"/>
    <n v="-1195581.7523547935"/>
    <x v="8"/>
  </r>
  <r>
    <x v="0"/>
    <n v="2532300000"/>
    <n v="-1470207.5748717913"/>
    <n v="-1932725.4307341292"/>
    <n v="-2446516.2337589473"/>
    <n v="-2307060.6568676503"/>
    <n v="-2092614.7626787613"/>
    <n v="-1618297.103107024"/>
    <n v="-1227654.3623487127"/>
    <n v="-1435278.968607926"/>
    <n v="-2829668.0311388834"/>
    <n v="-2625300.9409412681"/>
    <n v="-2833429.9650960444"/>
    <n v="-2614443.6068102433"/>
    <n v="0"/>
    <n v="0"/>
    <n v="0"/>
    <n v="0"/>
    <n v="0"/>
    <n v="0"/>
    <n v="-25433197.636961382"/>
    <x v="9"/>
  </r>
  <r>
    <x v="0"/>
    <n v="2530200000"/>
    <n v="-2543367.9942725478"/>
    <n v="-3367126.0614075279"/>
    <n v="-4541273.1791659035"/>
    <n v="-4159371.2398202647"/>
    <n v="-3748647.2542714346"/>
    <n v="-2917515.752655949"/>
    <n v="-2140880.4458391913"/>
    <n v="-2608054.5929596364"/>
    <n v="-4996800.533738289"/>
    <n v="-4648491.5434395829"/>
    <n v="-4971882.1149100009"/>
    <n v="-4596069.2711621691"/>
    <n v="0"/>
    <n v="0"/>
    <n v="0"/>
    <n v="0"/>
    <n v="0"/>
    <n v="0"/>
    <n v="-45239479.983642496"/>
    <x v="10"/>
  </r>
  <r>
    <x v="0"/>
    <n v="2530300000"/>
    <n v="-154319.04551857413"/>
    <n v="-138813.11712647995"/>
    <n v="-181299.37930454346"/>
    <n v="-177292.37985036781"/>
    <n v="-165542.04224487388"/>
    <n v="-180245.45721077503"/>
    <n v="-147634.98828176677"/>
    <n v="-106385.89161922825"/>
    <n v="-134150.11548120002"/>
    <n v="-155344.32453843046"/>
    <n v="-184420.57522695707"/>
    <n v="-175151.39560348619"/>
    <n v="0"/>
    <n v="0"/>
    <n v="0"/>
    <n v="0"/>
    <n v="0"/>
    <n v="0"/>
    <n v="-1900598.7120066828"/>
    <x v="11"/>
  </r>
  <r>
    <x v="0"/>
    <n v="2400210100"/>
    <n v="-1523819.5431297973"/>
    <n v="-1531111.157527446"/>
    <n v="-1521637.4677494406"/>
    <n v="-1512990.6429420649"/>
    <n v="-1508750.0401583889"/>
    <n v="-1508440.1684676786"/>
    <n v="-1507887.838324459"/>
    <n v="-1511575.2885234079"/>
    <n v="-1540696.4491838852"/>
    <n v="-1547838.7569218581"/>
    <n v="-1548569.43552806"/>
    <n v="-1550788.6754879931"/>
    <n v="0"/>
    <n v="0"/>
    <n v="0"/>
    <n v="0"/>
    <n v="0"/>
    <n v="0"/>
    <n v="-18314105.46394448"/>
    <x v="12"/>
  </r>
  <r>
    <x v="0"/>
    <n v="2400210200"/>
    <n v="-407.01102750000007"/>
    <n v="-429.9827298921"/>
    <n v="-15309.256958587517"/>
    <n v="-582.63859500000012"/>
    <n v="-637.2573900000001"/>
    <n v="-9051.0420000000013"/>
    <n v="-379.34589"/>
    <n v="-890.07291450000002"/>
    <n v="-26666.753190000007"/>
    <n v="-527.99439000000007"/>
    <n v="-441.87990000000008"/>
    <n v="-89019.466333875011"/>
    <n v="0"/>
    <n v="0"/>
    <n v="0"/>
    <n v="0"/>
    <n v="0"/>
    <n v="0"/>
    <n v="-144342.70131935464"/>
    <x v="13"/>
  </r>
  <r>
    <x v="0"/>
    <n v="2400210120"/>
    <n v="-30909.524543259562"/>
    <n v="-31057.429415066876"/>
    <n v="-30865.262797944328"/>
    <n v="-30689.868510077478"/>
    <n v="-30603.85109652533"/>
    <n v="-30597.565584128239"/>
    <n v="-30586.361985779065"/>
    <n v="-30661.159118379408"/>
    <n v="-31251.859791711402"/>
    <n v="-31396.736091085371"/>
    <n v="-31411.557352837441"/>
    <n v="-31456.572953482682"/>
    <n v="0"/>
    <n v="0"/>
    <n v="0"/>
    <n v="0"/>
    <n v="0"/>
    <n v="0"/>
    <n v="-371487.74924027716"/>
    <x v="14"/>
  </r>
  <r>
    <x v="0"/>
    <n v="2546100100"/>
    <n v="-358802.71282625006"/>
    <n v="-376107.33455077809"/>
    <n v="-445681.77704020828"/>
    <n v="-475436.64132128179"/>
    <n v="-384962.22418500006"/>
    <n v="-366630.68970000005"/>
    <n v="-268498.33129350003"/>
    <n v="-227638.34806683435"/>
    <n v="-413490.11320277973"/>
    <n v="-381830.94645313761"/>
    <n v="-394643.55968815665"/>
    <n v="-372706.14279112499"/>
    <n v="0"/>
    <n v="0"/>
    <n v="0"/>
    <n v="0"/>
    <n v="0"/>
    <n v="0"/>
    <n v="-4466428.8211190514"/>
    <x v="15"/>
  </r>
  <r>
    <x v="0"/>
    <n v="2544601400"/>
    <n v="-109605.29643112503"/>
    <n v="-118609.10477650013"/>
    <n v="-123117.26695895618"/>
    <n v="-116028.82883361628"/>
    <n v="-97509.604500000016"/>
    <n v="-92866.290000000023"/>
    <n v="-84998.736900000018"/>
    <n v="-96952.952550162518"/>
    <n v="-156020.26752300485"/>
    <n v="-168444.87350460002"/>
    <n v="-176087.59613760217"/>
    <n v="-142666.17608650003"/>
    <n v="0"/>
    <n v="0"/>
    <n v="0"/>
    <n v="0"/>
    <n v="0"/>
    <n v="0"/>
    <n v="-1482906.9942020674"/>
    <x v="16"/>
  </r>
  <r>
    <x v="0"/>
    <n v="2544600140"/>
    <n v="-77705.212594625016"/>
    <n v="-102457.95750548822"/>
    <n v="-122105.30944693858"/>
    <n v="-131622.64395240572"/>
    <n v="-165518.77072500001"/>
    <n v="-157636.92450000002"/>
    <n v="-149852.46899700005"/>
    <n v="-136552.84107616253"/>
    <n v="-133810.25790000003"/>
    <n v="-374669.91324551264"/>
    <n v="-263362.75371374527"/>
    <n v="-108238.57164697502"/>
    <n v="0"/>
    <n v="0"/>
    <n v="0"/>
    <n v="0"/>
    <n v="0"/>
    <n v="0"/>
    <n v="-1923533.6253038531"/>
    <x v="17"/>
  </r>
  <r>
    <x v="0"/>
    <n v="2544600120"/>
    <n v="-5524.3312451250022"/>
    <n v="-9752.1445438394639"/>
    <n v="-15468.533423580548"/>
    <n v="-12906.135046685587"/>
    <n v="-11954.921000000002"/>
    <n v="-7698.0200000000013"/>
    <n v="-6521.4226247500019"/>
    <n v="-3642.6022710000002"/>
    <n v="-16643.804933507563"/>
    <n v="-21757.433195987502"/>
    <n v="-19240.915793935452"/>
    <n v="-10923.126623750002"/>
    <n v="0"/>
    <n v="0"/>
    <n v="0"/>
    <n v="0"/>
    <n v="0"/>
    <n v="0"/>
    <n v="-142033.39070216112"/>
    <x v="18"/>
  </r>
  <r>
    <x v="0"/>
    <n v="2544600170"/>
    <n v="-3866.8847250000008"/>
    <n v="-4994.0684132232964"/>
    <n v="-6241.18"/>
    <n v="-10642.356769379154"/>
    <n v="-11738.239645000001"/>
    <n v="-10026.894900000003"/>
    <n v="-4764.0300592500016"/>
    <n v="-2764.8399657725004"/>
    <n v="-25028.068353701921"/>
    <n v="-27633.961081650003"/>
    <n v="-16961.501645555207"/>
    <n v="-10536.490884562501"/>
    <n v="0"/>
    <n v="0"/>
    <n v="0"/>
    <n v="0"/>
    <n v="0"/>
    <n v="0"/>
    <n v="-135198.51644309459"/>
    <x v="19"/>
  </r>
  <r>
    <x v="0"/>
    <n v="2561400000"/>
    <n v="-97865.595786750011"/>
    <n v="-97865.595786750011"/>
    <n v="-97605.446573250039"/>
    <n v="-97605.446573250039"/>
    <n v="-97605.446573250039"/>
    <n v="-97610.712100000004"/>
    <n v="-97793.228500000027"/>
    <n v="-97961.04340000001"/>
    <n v="-97755.343400000012"/>
    <n v="-97755.343400000012"/>
    <n v="-97755.343400000012"/>
    <n v="-97755.343400000012"/>
    <n v="0"/>
    <n v="0"/>
    <n v="0"/>
    <n v="0"/>
    <n v="0"/>
    <n v="0"/>
    <n v="-1172933.8888932504"/>
    <x v="20"/>
  </r>
  <r>
    <x v="0"/>
    <n v="2627300000"/>
    <n v="-11832.966279750002"/>
    <n v="-10668.467240750004"/>
    <n v="-18729.565800000004"/>
    <n v="-13879.426000000003"/>
    <n v="-6075.5310000000018"/>
    <n v="-16220.158900000004"/>
    <n v="-11514.541500000003"/>
    <n v="-11156.684000000001"/>
    <n v="-13266.536800000002"/>
    <n v="-6528.4340000000011"/>
    <n v="-12028.489000000001"/>
    <n v="-31238.467240750007"/>
    <n v="0"/>
    <n v="0"/>
    <n v="0"/>
    <n v="0"/>
    <n v="0"/>
    <n v="0"/>
    <n v="-163139.26776125006"/>
    <x v="21"/>
  </r>
  <r>
    <x v="0"/>
    <n v="2627100000"/>
    <n v="-5825.3423401250011"/>
    <n v="-1805.8392563750003"/>
    <n v="-9079.840000000002"/>
    <n v="-10433.467000000002"/>
    <n v="-10286.197900000001"/>
    <n v="-3214.2198000000008"/>
    <n v="-4135.187100000001"/>
    <n v="-2146.4432000000002"/>
    <n v="-2135.0813000000003"/>
    <n v="-11247.119400000001"/>
    <n v="-1803.5413000000003"/>
    <n v="-2119.2666000000004"/>
    <n v="0"/>
    <n v="0"/>
    <n v="0"/>
    <n v="0"/>
    <n v="0"/>
    <n v="0"/>
    <n v="-64231.54519650001"/>
    <x v="22"/>
  </r>
  <r>
    <x v="0"/>
    <n v="2601100200"/>
    <n v="-12827.642847250003"/>
    <n v="-8990.7802792500006"/>
    <n v="0"/>
    <n v="-3847.8000000000006"/>
    <n v="-7295.2231000000002"/>
    <n v="-7630.3810000000012"/>
    <n v="-10130.797600000002"/>
    <n v="-1985.7673000000004"/>
    <n v="0"/>
    <n v="-10368.163300000002"/>
    <n v="-5253.4328000000014"/>
    <n v="-6869.5330000000013"/>
    <n v="0"/>
    <n v="0"/>
    <n v="0"/>
    <n v="0"/>
    <n v="0"/>
    <n v="0"/>
    <n v="-75199.521226500001"/>
    <x v="23"/>
  </r>
  <r>
    <x v="0"/>
    <n v="2633100000"/>
    <n v="-71770.089737500006"/>
    <n v="-13956.64980325"/>
    <n v="0"/>
    <n v="0"/>
    <n v="0"/>
    <n v="-33073.329300000005"/>
    <n v="-8268.3293000000012"/>
    <n v="-8268.3293000000012"/>
    <n v="-8268.3293000000012"/>
    <n v="-8268.3293000000012"/>
    <n v="-8268.3293000000012"/>
    <n v="-8268.3293000000012"/>
    <n v="0"/>
    <n v="0"/>
    <n v="0"/>
    <n v="0"/>
    <n v="0"/>
    <n v="0"/>
    <n v="-168410.04464075004"/>
    <x v="24"/>
  </r>
  <r>
    <x v="0"/>
    <n v="2633600000"/>
    <n v="-26991.973556625006"/>
    <n v="-28304.255113750001"/>
    <n v="-27343.580000000005"/>
    <n v="-24900.348000000002"/>
    <n v="-26122.569000000007"/>
    <n v="-27268.221200000007"/>
    <n v="-31253.670800000007"/>
    <n v="-29210.198600000003"/>
    <n v="-26770.209400000003"/>
    <n v="-28728.921100000003"/>
    <n v="-30726.582700000003"/>
    <n v="-30158.354600000002"/>
    <n v="0"/>
    <n v="0"/>
    <n v="0"/>
    <n v="0"/>
    <n v="0"/>
    <n v="0"/>
    <n v="-337778.88407037506"/>
    <x v="25"/>
  </r>
  <r>
    <x v="0"/>
    <n v="2616100000"/>
    <n v="0"/>
    <n v="0"/>
    <n v="-36964.048000000003"/>
    <n v="0"/>
    <n v="0"/>
    <n v="0"/>
    <n v="0"/>
    <n v="0"/>
    <n v="0"/>
    <n v="0"/>
    <n v="0"/>
    <n v="0"/>
    <n v="0"/>
    <n v="0"/>
    <n v="0"/>
    <n v="0"/>
    <n v="0"/>
    <n v="0"/>
    <n v="-36964.048000000003"/>
    <x v="26"/>
  </r>
  <r>
    <x v="1"/>
    <n v="2003100005"/>
    <n v="0"/>
    <n v="0"/>
    <n v="0"/>
    <n v="0"/>
    <n v="0"/>
    <n v="0"/>
    <n v="0"/>
    <n v="0"/>
    <n v="0"/>
    <n v="0"/>
    <n v="0"/>
    <n v="0"/>
    <n v="15587141.759999998"/>
    <n v="21550395.090000004"/>
    <n v="25921509.449999996"/>
    <n v="19150184.419999998"/>
    <n v="20358143.84"/>
    <n v="18521907.539999999"/>
    <n v="121089282.09999999"/>
    <x v="0"/>
  </r>
  <r>
    <x v="1"/>
    <n v="2003100006"/>
    <n v="0"/>
    <n v="0"/>
    <n v="0"/>
    <n v="0"/>
    <n v="0"/>
    <n v="0"/>
    <n v="0"/>
    <n v="0"/>
    <n v="0"/>
    <n v="0"/>
    <n v="0"/>
    <n v="0"/>
    <n v="1162130.4500000002"/>
    <n v="1375683.25"/>
    <n v="1741665.93"/>
    <n v="1276638.8700000001"/>
    <n v="1297552.5299999998"/>
    <n v="1173863.2000000002"/>
    <n v="8027534.2299999995"/>
    <x v="1"/>
  </r>
  <r>
    <x v="1"/>
    <n v="2003100007"/>
    <n v="0"/>
    <n v="0"/>
    <n v="0"/>
    <n v="0"/>
    <n v="0"/>
    <n v="0"/>
    <n v="0"/>
    <n v="0"/>
    <n v="0"/>
    <n v="0"/>
    <n v="0"/>
    <n v="0"/>
    <n v="1520904.79"/>
    <n v="1165766.1599999999"/>
    <n v="1397252.56"/>
    <n v="1562865.42"/>
    <n v="1748359.82"/>
    <n v="1444158.71"/>
    <n v="8839307.4600000009"/>
    <x v="2"/>
  </r>
  <r>
    <x v="1"/>
    <n v="2211200001"/>
    <n v="0"/>
    <n v="0"/>
    <n v="0"/>
    <n v="0"/>
    <n v="0"/>
    <n v="0"/>
    <n v="0"/>
    <n v="0"/>
    <n v="0"/>
    <n v="0"/>
    <n v="0"/>
    <n v="0"/>
    <n v="-9511517.2004292104"/>
    <n v="-13135651.094679004"/>
    <n v="-15677777.382166883"/>
    <n v="-11529761.10350487"/>
    <n v="-12207980.403199045"/>
    <n v="-11216653.512991706"/>
    <n v="-73279340.696970731"/>
    <x v="3"/>
  </r>
  <r>
    <x v="1"/>
    <n v="2211200002"/>
    <n v="0"/>
    <n v="0"/>
    <n v="0"/>
    <n v="0"/>
    <n v="0"/>
    <n v="0"/>
    <n v="0"/>
    <n v="0"/>
    <n v="0"/>
    <n v="0"/>
    <n v="0"/>
    <n v="0"/>
    <n v="-729894.78932666406"/>
    <n v="-860147.62850186089"/>
    <n v="-1085322.4078376205"/>
    <n v="-790838.16351295868"/>
    <n v="-806592.5920911869"/>
    <n v="-734792.92918374401"/>
    <n v="-5007588.5104540344"/>
    <x v="4"/>
  </r>
  <r>
    <x v="1"/>
    <n v="2211200003"/>
    <n v="0"/>
    <n v="0"/>
    <n v="0"/>
    <n v="0"/>
    <n v="0"/>
    <n v="0"/>
    <n v="0"/>
    <n v="0"/>
    <n v="0"/>
    <n v="0"/>
    <n v="0"/>
    <n v="0"/>
    <n v="-927464.07947095949"/>
    <n v="-705415.86234208697"/>
    <n v="-844968.03555313603"/>
    <n v="-951185.12176403822"/>
    <n v="-1063118.2467180912"/>
    <n v="-883462.24840680009"/>
    <n v="-5375613.5942551121"/>
    <x v="5"/>
  </r>
  <r>
    <x v="1"/>
    <n v="2201201000"/>
    <n v="0"/>
    <n v="0"/>
    <n v="0"/>
    <n v="0"/>
    <n v="0"/>
    <n v="0"/>
    <n v="0"/>
    <n v="0"/>
    <n v="0"/>
    <n v="0"/>
    <n v="0"/>
    <n v="0"/>
    <n v="-11611.850274976412"/>
    <n v="-8922.8193539330478"/>
    <n v="-10794.897760331902"/>
    <n v="-12371.126846267103"/>
    <n v="-13693.74107909236"/>
    <n v="-11170.573158653138"/>
    <n v="-68565.008473253954"/>
    <x v="6"/>
  </r>
  <r>
    <x v="1"/>
    <n v="2690200007"/>
    <n v="0"/>
    <n v="0"/>
    <n v="0"/>
    <n v="0"/>
    <n v="0"/>
    <n v="0"/>
    <n v="0"/>
    <n v="0"/>
    <n v="0"/>
    <n v="0"/>
    <n v="0"/>
    <n v="0"/>
    <n v="-329966.84307302831"/>
    <n v="-444477.28743122064"/>
    <n v="-530386.95979647711"/>
    <n v="-380806.02657311741"/>
    <n v="-409564.1491219647"/>
    <n v="-367756.22248826141"/>
    <n v="-2462957.4884840692"/>
    <x v="7"/>
  </r>
  <r>
    <x v="1"/>
    <n v="2690200010"/>
    <n v="0"/>
    <n v="0"/>
    <n v="0"/>
    <n v="0"/>
    <n v="0"/>
    <n v="0"/>
    <n v="0"/>
    <n v="0"/>
    <n v="0"/>
    <n v="0"/>
    <n v="0"/>
    <n v="0"/>
    <n v="-74250.497054608073"/>
    <n v="-90525.201571920741"/>
    <n v="-120810.01492454309"/>
    <n v="-111996.59830255566"/>
    <n v="-114779.62223885756"/>
    <n v="-104151.2659339878"/>
    <n v="-616513.20002647303"/>
    <x v="8"/>
  </r>
  <r>
    <x v="1"/>
    <n v="2532300000"/>
    <n v="0"/>
    <n v="0"/>
    <n v="0"/>
    <n v="0"/>
    <n v="0"/>
    <n v="0"/>
    <n v="0"/>
    <n v="0"/>
    <n v="0"/>
    <n v="0"/>
    <n v="0"/>
    <n v="0"/>
    <n v="-1830023.9135537171"/>
    <n v="-2405737.6774740806"/>
    <n v="-2768479.8280276647"/>
    <n v="-2084666.5777848272"/>
    <n v="-2202174.6291354145"/>
    <n v="-1982751.8174181338"/>
    <n v="-13273834.44339384"/>
    <x v="9"/>
  </r>
  <r>
    <x v="1"/>
    <n v="2530200000"/>
    <n v="0"/>
    <n v="0"/>
    <n v="0"/>
    <n v="0"/>
    <n v="0"/>
    <n v="0"/>
    <n v="0"/>
    <n v="0"/>
    <n v="0"/>
    <n v="0"/>
    <n v="0"/>
    <n v="0"/>
    <n v="-2778072.4982260326"/>
    <n v="-3677847.7712706476"/>
    <n v="-4284234.8750721337"/>
    <n v="-3178369.075623937"/>
    <n v="-3385070.5480162837"/>
    <n v="-3050680.7288258751"/>
    <n v="-20354275.497034907"/>
    <x v="10"/>
  </r>
  <r>
    <x v="1"/>
    <n v="2530300000"/>
    <n v="0"/>
    <n v="0"/>
    <n v="0"/>
    <n v="0"/>
    <n v="0"/>
    <n v="0"/>
    <n v="0"/>
    <n v="0"/>
    <n v="0"/>
    <n v="0"/>
    <n v="0"/>
    <n v="0"/>
    <n v="-156074.8880086717"/>
    <n v="-140392.53312412635"/>
    <n v="-180733.35611055975"/>
    <n v="-163355.03418914252"/>
    <n v="-185825.34447021439"/>
    <n v="-148540.53177824614"/>
    <n v="-974921.68768096087"/>
    <x v="11"/>
  </r>
  <r>
    <x v="1"/>
    <n v="2400210100"/>
    <n v="0"/>
    <n v="0"/>
    <n v="0"/>
    <n v="0"/>
    <n v="0"/>
    <n v="0"/>
    <n v="0"/>
    <n v="0"/>
    <n v="0"/>
    <n v="0"/>
    <n v="0"/>
    <n v="0"/>
    <n v="-1542025.3909785931"/>
    <n v="-1561231.0370585187"/>
    <n v="-1543421.3917061251"/>
    <n v="-1559364.2245044285"/>
    <n v="-1549069.9559610896"/>
    <n v="-1552312.410868014"/>
    <n v="-9307424.4110767674"/>
    <x v="12"/>
  </r>
  <r>
    <x v="1"/>
    <n v="2400210200"/>
    <n v="0"/>
    <n v="0"/>
    <n v="0"/>
    <n v="0"/>
    <n v="0"/>
    <n v="0"/>
    <n v="0"/>
    <n v="0"/>
    <n v="0"/>
    <n v="0"/>
    <n v="0"/>
    <n v="0"/>
    <n v="-415.55055742033682"/>
    <n v="-434.61418857232928"/>
    <n v="-20457.160535096336"/>
    <n v="-769.53963193034656"/>
    <n v="-580.92697704545765"/>
    <n v="-8439.6192744227756"/>
    <n v="-31097.411164487581"/>
    <x v="13"/>
  </r>
  <r>
    <x v="1"/>
    <n v="2400210120"/>
    <n v="0"/>
    <n v="0"/>
    <n v="0"/>
    <n v="0"/>
    <n v="0"/>
    <n v="0"/>
    <n v="0"/>
    <n v="0"/>
    <n v="0"/>
    <n v="0"/>
    <n v="0"/>
    <n v="0"/>
    <n v="-31278.816368824017"/>
    <n v="-31668.388343768856"/>
    <n v="-31307.133185565603"/>
    <n v="-31630.52146594958"/>
    <n v="-31421.710030481503"/>
    <n v="-31487.480770841059"/>
    <n v="-188794.05016543061"/>
    <x v="14"/>
  </r>
  <r>
    <x v="1"/>
    <n v="2546100100"/>
    <n v="0"/>
    <n v="0"/>
    <n v="0"/>
    <n v="0"/>
    <n v="0"/>
    <n v="0"/>
    <n v="0"/>
    <n v="0"/>
    <n v="0"/>
    <n v="0"/>
    <n v="0"/>
    <n v="0"/>
    <n v="-359256.31929000001"/>
    <n v="-369330.92676575581"/>
    <n v="-425180.18966605875"/>
    <n v="-358492.33783221879"/>
    <n v="-303859.33126635099"/>
    <n v="-286833.30015779997"/>
    <n v="-2102952.4049781845"/>
    <x v="15"/>
  </r>
  <r>
    <x v="1"/>
    <n v="2544601400"/>
    <n v="0"/>
    <n v="0"/>
    <n v="0"/>
    <n v="0"/>
    <n v="0"/>
    <n v="0"/>
    <n v="0"/>
    <n v="0"/>
    <n v="0"/>
    <n v="0"/>
    <n v="0"/>
    <n v="0"/>
    <n v="-120743.03726100002"/>
    <n v="-128562.52376125654"/>
    <n v="-132254.70154772289"/>
    <n v="-131225.52788252197"/>
    <n v="-113819.14772511229"/>
    <n v="-108185.12812800003"/>
    <n v="-734790.06630561373"/>
    <x v="16"/>
  </r>
  <r>
    <x v="1"/>
    <n v="2544600140"/>
    <n v="0"/>
    <n v="0"/>
    <n v="0"/>
    <n v="0"/>
    <n v="0"/>
    <n v="0"/>
    <n v="0"/>
    <n v="0"/>
    <n v="0"/>
    <n v="0"/>
    <n v="0"/>
    <n v="0"/>
    <n v="-77803.449273000006"/>
    <n v="-90917.016300000018"/>
    <n v="-108164.70699812661"/>
    <n v="-142914.88007725426"/>
    <n v="-133451.56798714478"/>
    <n v="-144759.45764610005"/>
    <n v="-698011.07828162576"/>
    <x v="17"/>
  </r>
  <r>
    <x v="1"/>
    <n v="2544600120"/>
    <n v="0"/>
    <n v="0"/>
    <n v="0"/>
    <n v="0"/>
    <n v="0"/>
    <n v="0"/>
    <n v="0"/>
    <n v="0"/>
    <n v="0"/>
    <n v="0"/>
    <n v="0"/>
    <n v="0"/>
    <n v="-12718.715229000001"/>
    <n v="-13651.578459708369"/>
    <n v="-16336.879192012504"/>
    <n v="-15475.386891739785"/>
    <n v="-11421.3553828605"/>
    <n v="-12351.666690000002"/>
    <n v="-81955.581845321154"/>
    <x v="18"/>
  </r>
  <r>
    <x v="1"/>
    <n v="2544600170"/>
    <n v="0"/>
    <n v="0"/>
    <n v="0"/>
    <n v="0"/>
    <n v="0"/>
    <n v="0"/>
    <n v="0"/>
    <n v="0"/>
    <n v="0"/>
    <n v="0"/>
    <n v="0"/>
    <n v="0"/>
    <n v="-2632.9842000000003"/>
    <n v="-2560.9757513725699"/>
    <n v="-2620.5616775250001"/>
    <n v="-3759.3345729041562"/>
    <n v="-3757.0973813010005"/>
    <n v="-3807.1657800000003"/>
    <n v="-19138.119363102727"/>
    <x v="19"/>
  </r>
  <r>
    <x v="1"/>
    <n v="2561400000"/>
    <n v="0"/>
    <n v="0"/>
    <n v="0"/>
    <n v="0"/>
    <n v="0"/>
    <n v="0"/>
    <n v="0"/>
    <n v="0"/>
    <n v="0"/>
    <n v="0"/>
    <n v="0"/>
    <n v="0"/>
    <n v="-96777.789966000011"/>
    <n v="-96777.789966000011"/>
    <n v="-96777.789966000011"/>
    <n v="-96777.789966000011"/>
    <n v="-96777.789966000011"/>
    <n v="-96777.789966000011"/>
    <n v="-580666.73979600007"/>
    <x v="20"/>
  </r>
  <r>
    <x v="1"/>
    <n v="2627300000"/>
    <n v="0"/>
    <n v="0"/>
    <n v="0"/>
    <n v="0"/>
    <n v="0"/>
    <n v="0"/>
    <n v="0"/>
    <n v="0"/>
    <n v="0"/>
    <n v="0"/>
    <n v="0"/>
    <n v="0"/>
    <n v="-11847.925782000002"/>
    <n v="-8517.8596140000009"/>
    <n v="-2207.6099100000006"/>
    <n v="-7067.7178110000013"/>
    <n v="-12834.947466000003"/>
    <n v="-22129.992621000005"/>
    <n v="-64606.053204000011"/>
    <x v="21"/>
  </r>
  <r>
    <x v="1"/>
    <n v="2627100000"/>
    <n v="0"/>
    <n v="0"/>
    <n v="0"/>
    <n v="0"/>
    <n v="0"/>
    <n v="0"/>
    <n v="0"/>
    <n v="0"/>
    <n v="0"/>
    <n v="0"/>
    <n v="0"/>
    <n v="0"/>
    <n v="-5832.7068690000006"/>
    <n v="-1808.1222390000003"/>
    <n v="-7327.0032660000015"/>
    <n v="-7621.5548970000018"/>
    <n v="-2082.0939480000002"/>
    <n v="-2059.214058"/>
    <n v="-26730.695277000006"/>
    <x v="22"/>
  </r>
  <r>
    <x v="1"/>
    <n v="2601100200"/>
    <n v="0"/>
    <n v="0"/>
    <n v="0"/>
    <n v="0"/>
    <n v="0"/>
    <n v="0"/>
    <n v="0"/>
    <n v="0"/>
    <n v="0"/>
    <n v="0"/>
    <n v="0"/>
    <n v="0"/>
    <n v="-12843.859842000002"/>
    <n v="-9002.1466260000016"/>
    <n v="-674.07030900000018"/>
    <n v="-782.94744000000003"/>
    <n v="-1103.4935010000002"/>
    <n v="-4852.5611310000004"/>
    <n v="-29259.078849000005"/>
    <x v="23"/>
  </r>
  <r>
    <x v="1"/>
    <n v="2633100000"/>
    <n v="0"/>
    <n v="0"/>
    <n v="0"/>
    <n v="0"/>
    <n v="0"/>
    <n v="0"/>
    <n v="0"/>
    <n v="0"/>
    <n v="0"/>
    <n v="0"/>
    <n v="0"/>
    <n v="0"/>
    <n v="-71860.823100000009"/>
    <n v="-13974.294114"/>
    <n v="-9383.5460070000008"/>
    <n v="-10880.322057000001"/>
    <n v="-10131.934032000001"/>
    <n v="-10131.934032000001"/>
    <n v="-126362.85334200002"/>
    <x v="24"/>
  </r>
  <r>
    <x v="1"/>
    <n v="2633600000"/>
    <n v="0"/>
    <n v="0"/>
    <n v="0"/>
    <n v="0"/>
    <n v="0"/>
    <n v="0"/>
    <n v="0"/>
    <n v="0"/>
    <n v="0"/>
    <n v="0"/>
    <n v="0"/>
    <n v="0"/>
    <n v="-27026.097417000004"/>
    <n v="-28340.037990000004"/>
    <n v="-28256.017284000001"/>
    <n v="-25741.912680000005"/>
    <n v="-24393.041343000004"/>
    <n v="-25141.213746000005"/>
    <n v="-158898.32046000002"/>
    <x v="25"/>
  </r>
  <r>
    <x v="1"/>
    <n v="2616100000"/>
    <n v="0"/>
    <n v="0"/>
    <n v="0"/>
    <n v="0"/>
    <n v="0"/>
    <n v="0"/>
    <n v="0"/>
    <n v="0"/>
    <n v="0"/>
    <n v="0"/>
    <n v="0"/>
    <n v="0"/>
    <n v="0"/>
    <n v="0"/>
    <n v="-38153.678013000012"/>
    <n v="0"/>
    <n v="0"/>
    <n v="0"/>
    <n v="-38153.67801300001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C35D9-A092-47B6-9B30-F012658A80A1}" name="Tabela przestawna6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8">
  <location ref="AC3:AE7" firstHeaderRow="0" firstDataRow="1" firstDataCol="1" rowPageCount="1" colPageCount="1"/>
  <pivotFields count="22">
    <pivotField axis="axisPage" showAll="0">
      <items count="3">
        <item x="0"/>
        <item x="1"/>
        <item t="default"/>
      </items>
    </pivotField>
    <pivotField numFmtId="49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ame="Country" axis="axisRow" showAll="0">
      <items count="28">
        <item h="1" x="3"/>
        <item h="1" x="5"/>
        <item h="1" x="6"/>
        <item h="1" x="4"/>
        <item h="1" x="21"/>
        <item h="1" x="22"/>
        <item h="1" x="10"/>
        <item h="1" x="11"/>
        <item h="1" x="24"/>
        <item h="1" x="25"/>
        <item h="1" x="26"/>
        <item h="1" x="13"/>
        <item h="1" x="12"/>
        <item h="1" x="14"/>
        <item h="1" x="17"/>
        <item h="1" x="15"/>
        <item h="1" x="16"/>
        <item h="1" x="19"/>
        <item h="1" x="18"/>
        <item h="1" x="8"/>
        <item h="1" x="7"/>
        <item h="1" x="20"/>
        <item x="0"/>
        <item x="2"/>
        <item x="1"/>
        <item h="1" x="23"/>
        <item h="1" x="9"/>
        <item t="default"/>
      </items>
    </pivotField>
  </pivotFields>
  <rowFields count="1">
    <field x="21"/>
  </rowFields>
  <rowItems count="4"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a z SUM TOTAL" fld="20" baseField="0" baseItem="0" numFmtId="3"/>
    <dataField name="Suma z SUM TOTAL2" fld="20" baseField="21" baseItem="23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81">
      <pivotArea outline="0" collapsedLevelsAreSubtotals="1" fieldPosition="0"/>
    </format>
    <format dxfId="80">
      <pivotArea outline="0" fieldPosition="0">
        <references count="1">
          <reference field="4294967294" count="1">
            <x v="1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1"/>
          </reference>
          <reference field="21" count="0"/>
        </references>
      </pivotArea>
    </format>
    <format dxfId="78">
      <pivotArea field="2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1" count="1" selected="0">
            <x v="2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1" count="1" selected="0">
            <x v="2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1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6759E-CAC6-4747-B462-82F275E7AEED}" name="Tabela przestawna2" cacheId="0" applyNumberFormats="0" applyBorderFormats="0" applyFontFormats="0" applyPatternFormats="0" applyAlignmentFormats="0" applyWidthHeightFormats="1" dataCaption="Wartości" grandTotalCaption="Total" updatedVersion="8" minRefreshableVersion="3" useAutoFormatting="1" rowGrandTotals="0" colGrandTotals="0" itemPrintTitles="1" createdVersion="8" indent="0" outline="1" outlineData="1" multipleFieldFilters="0" rowHeaderCaption="CATEGORY">
  <location ref="I10:AA51" firstHeaderRow="1" firstDataRow="2" firstDataCol="1"/>
  <pivotFields count="6">
    <pivotField subtotalCaption="? Sum" showAll="0"/>
    <pivotField showAll="0"/>
    <pivotField axis="axisCol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8"/>
        <item x="12"/>
        <item x="13"/>
        <item x="14"/>
        <item x="15"/>
        <item x="16"/>
        <item x="17"/>
        <item t="default"/>
      </items>
    </pivotField>
    <pivotField showAll="0"/>
    <pivotField axis="axisRow" showAll="0">
      <items count="41">
        <item x="0"/>
        <item x="2"/>
        <item x="1"/>
        <item n="REVENUE" f="1" x="27"/>
        <item x="3"/>
        <item x="5"/>
        <item x="4"/>
        <item x="6"/>
        <item n="COGS" f="1" x="28"/>
        <item f="1" x="29"/>
        <item x="8"/>
        <item x="7"/>
        <item f="1" x="38"/>
        <item n="WAREHOUSE " x="9"/>
        <item x="10"/>
        <item x="11"/>
        <item f="1" x="39"/>
        <item f="1" x="30"/>
        <item f="1" x="31"/>
        <item x="13"/>
        <item x="12"/>
        <item x="14"/>
        <item f="1" x="32"/>
        <item x="17"/>
        <item x="15"/>
        <item x="16"/>
        <item x="19"/>
        <item x="18"/>
        <item f="1" x="33"/>
        <item n="RENT " x="20"/>
        <item n="TRAVEL " x="23"/>
        <item x="21"/>
        <item x="22"/>
        <item f="1" x="34"/>
        <item x="24"/>
        <item x="25"/>
        <item x="26"/>
        <item n="INSURANCES" f="1" x="35"/>
        <item f="1" x="36"/>
        <item f="1" x="37"/>
        <item t="default"/>
      </items>
    </pivotField>
    <pivotField dataField="1" numFmtId="4" showAll="0"/>
  </pivotFields>
  <rowFields count="1">
    <field x="4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</colItems>
  <dataFields count="1">
    <dataField name="P&amp;L ACTUALS" fld="5" baseField="4" baseItem="15" numFmtId="4"/>
  </dataFields>
  <formats count="23">
    <format dxfId="54">
      <pivotArea dataOnly="0" fieldPosition="0">
        <references count="1">
          <reference field="4" count="1">
            <x v="3"/>
          </reference>
        </references>
      </pivotArea>
    </format>
    <format dxfId="53">
      <pivotArea dataOnly="0" fieldPosition="0">
        <references count="1">
          <reference field="4" count="1">
            <x v="8"/>
          </reference>
        </references>
      </pivotArea>
    </format>
    <format dxfId="52">
      <pivotArea dataOnly="0" fieldPosition="0">
        <references count="1">
          <reference field="4" count="1">
            <x v="9"/>
          </reference>
        </references>
      </pivotArea>
    </format>
    <format dxfId="51">
      <pivotArea dataOnly="0" fieldPosition="0">
        <references count="1">
          <reference field="4" count="1">
            <x v="17"/>
          </reference>
        </references>
      </pivotArea>
    </format>
    <format dxfId="50">
      <pivotArea dataOnly="0" fieldPosition="0">
        <references count="1">
          <reference field="4" count="1">
            <x v="18"/>
          </reference>
        </references>
      </pivotArea>
    </format>
    <format dxfId="49">
      <pivotArea dataOnly="0" fieldPosition="0">
        <references count="1">
          <reference field="4" count="1">
            <x v="3"/>
          </reference>
        </references>
      </pivotArea>
    </format>
    <format dxfId="48">
      <pivotArea dataOnly="0" fieldPosition="0">
        <references count="1">
          <reference field="4" count="2">
            <x v="8"/>
            <x v="9"/>
          </reference>
        </references>
      </pivotArea>
    </format>
    <format dxfId="47">
      <pivotArea dataOnly="0" fieldPosition="0">
        <references count="1">
          <reference field="4" count="1">
            <x v="17"/>
          </reference>
        </references>
      </pivotArea>
    </format>
    <format dxfId="46">
      <pivotArea dataOnly="0" fieldPosition="0">
        <references count="1">
          <reference field="4" count="1">
            <x v="18"/>
          </reference>
        </references>
      </pivotArea>
    </format>
    <format dxfId="45">
      <pivotArea dataOnly="0" fieldPosition="0">
        <references count="1">
          <reference field="4" count="1">
            <x v="22"/>
          </reference>
        </references>
      </pivotArea>
    </format>
    <format dxfId="44">
      <pivotArea dataOnly="0" fieldPosition="0">
        <references count="1">
          <reference field="4" count="1">
            <x v="28"/>
          </reference>
        </references>
      </pivotArea>
    </format>
    <format dxfId="43">
      <pivotArea dataOnly="0" fieldPosition="0">
        <references count="1">
          <reference field="4" count="1">
            <x v="29"/>
          </reference>
        </references>
      </pivotArea>
    </format>
    <format dxfId="42">
      <pivotArea dataOnly="0" fieldPosition="0">
        <references count="1">
          <reference field="4" count="1">
            <x v="30"/>
          </reference>
        </references>
      </pivotArea>
    </format>
    <format dxfId="41">
      <pivotArea dataOnly="0" fieldPosition="0">
        <references count="1">
          <reference field="4" count="1">
            <x v="33"/>
          </reference>
        </references>
      </pivotArea>
    </format>
    <format dxfId="40">
      <pivotArea dataOnly="0" fieldPosition="0">
        <references count="1">
          <reference field="4" count="1">
            <x v="37"/>
          </reference>
        </references>
      </pivotArea>
    </format>
    <format dxfId="39">
      <pivotArea dataOnly="0" fieldPosition="0">
        <references count="1">
          <reference field="4" count="1">
            <x v="38"/>
          </reference>
        </references>
      </pivotArea>
    </format>
    <format dxfId="38">
      <pivotArea dataOnly="0" fieldPosition="0">
        <references count="1">
          <reference field="4" count="1">
            <x v="38"/>
          </reference>
        </references>
      </pivotArea>
    </format>
    <format dxfId="37">
      <pivotArea dataOnly="0" fieldPosition="0">
        <references count="1">
          <reference field="4" count="1">
            <x v="39"/>
          </reference>
        </references>
      </pivotArea>
    </format>
    <format dxfId="36">
      <pivotArea dataOnly="0" fieldPosition="0">
        <references count="1">
          <reference field="4" count="1">
            <x v="39"/>
          </reference>
        </references>
      </pivotArea>
    </format>
    <format dxfId="35">
      <pivotArea type="origin" dataOnly="0" labelOnly="1" outline="0" fieldPosition="0"/>
    </format>
    <format dxfId="34">
      <pivotArea dataOnly="0" fieldPosition="0">
        <references count="1">
          <reference field="4" count="1">
            <x v="12"/>
          </reference>
        </references>
      </pivotArea>
    </format>
    <format dxfId="33">
      <pivotArea dataOnly="0" fieldPosition="0">
        <references count="1">
          <reference field="4" count="1">
            <x v="13"/>
          </reference>
        </references>
      </pivotArea>
    </format>
    <format dxfId="32">
      <pivotArea dataOnly="0" fieldPosition="0">
        <references count="1">
          <reference field="4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768D79-8167-4ABB-B23C-0B2DF0414BA3}" autoFormatId="16" applyNumberFormats="0" applyBorderFormats="0" applyFontFormats="0" applyPatternFormats="0" applyAlignmentFormats="0" applyWidthHeightFormats="0">
  <queryTableRefresh nextId="13">
    <queryTableFields count="6">
      <queryTableField id="1" name="Year" tableColumnId="1"/>
      <queryTableField id="2" name="Account" tableColumnId="2"/>
      <queryTableField id="8" dataBound="0" tableColumnId="8"/>
      <queryTableField id="5" name="Month" tableColumnId="5"/>
      <queryTableField id="7" dataBound="0" tableColumnId="7"/>
      <queryTableField id="6" name="Value" tableColumnId="6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F9B40-7367-4225-9762-C94A305D42D0}" name="tAccountOverwiew" displayName="tAccountOverwiew" ref="A1:B28" totalsRowShown="0">
  <autoFilter ref="A1:B28" xr:uid="{120F9B40-7367-4225-9762-C94A305D42D0}"/>
  <tableColumns count="2">
    <tableColumn id="1" xr3:uid="{0897CF13-548F-4979-8175-0D230E999D4D}" name="Account" dataDxfId="102"/>
    <tableColumn id="2" xr3:uid="{F3A00AA5-510F-493D-AF98-69F1FE08D3E9}" name="Nam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E6D86-745A-40F9-9B66-55ADA364FB5E}" name="tActuals" displayName="tActuals" ref="A1:T55" totalsRowShown="0" headerRowDxfId="101">
  <autoFilter ref="A1:T55" xr:uid="{115E6D86-745A-40F9-9B66-55ADA364FB5E}"/>
  <tableColumns count="20">
    <tableColumn id="1" xr3:uid="{324AAEAB-6146-4B4B-973F-18CF89FA47AB}" name="Year"/>
    <tableColumn id="2" xr3:uid="{C6052B62-792C-4E44-94CA-ECF48E2AEF52}" name="Account" dataDxfId="100"/>
    <tableColumn id="3" xr3:uid="{CD8438A8-D5FA-477D-B43C-130FE3260200}" name="January" dataDxfId="99"/>
    <tableColumn id="4" xr3:uid="{097E1B80-FD28-4763-B5A1-BA6716048B68}" name="February" dataDxfId="98"/>
    <tableColumn id="5" xr3:uid="{2EB749D5-21D6-4A76-AAC2-A1DA5F51F212}" name="March" dataDxfId="97"/>
    <tableColumn id="6" xr3:uid="{F34D9082-6F86-497F-88C7-26F59505BDCA}" name="April" dataDxfId="96"/>
    <tableColumn id="7" xr3:uid="{8CF47B9C-E3A2-44FD-B623-DEDAB3207A3F}" name="May" dataDxfId="95"/>
    <tableColumn id="8" xr3:uid="{66C9EF88-160E-419E-9C27-BCAAC84965AB}" name="June" dataDxfId="94"/>
    <tableColumn id="9" xr3:uid="{D1B66A31-0A0B-48E1-B100-861D5F872FC9}" name="July" dataDxfId="93"/>
    <tableColumn id="10" xr3:uid="{A6FFC4CC-A819-4162-B2CA-F95FF051E019}" name="August" dataDxfId="92"/>
    <tableColumn id="11" xr3:uid="{9CF76FB7-772D-45F6-9205-2E860A872FFF}" name="September" dataDxfId="91"/>
    <tableColumn id="12" xr3:uid="{8CE622E7-7FE4-4FD9-B383-CBAAF610DD86}" name="October" dataDxfId="90"/>
    <tableColumn id="13" xr3:uid="{72B12873-3FCE-46FE-8D70-35E7A2554DD0}" name="November" dataDxfId="89"/>
    <tableColumn id="14" xr3:uid="{502A9F28-3D55-4A8A-9C71-068974913384}" name="December" dataDxfId="88"/>
    <tableColumn id="15" xr3:uid="{F8455DD7-2742-482D-8143-4CD0741D6D2E}" name="January1" dataDxfId="87"/>
    <tableColumn id="16" xr3:uid="{5A4929D6-0BAC-443F-A76E-7344CC693020}" name="February1" dataDxfId="86"/>
    <tableColumn id="17" xr3:uid="{FB8352CD-A644-43DC-80EA-1208AC8940C7}" name="March1" dataDxfId="85"/>
    <tableColumn id="18" xr3:uid="{B045E5A3-4D91-4ABB-9182-9A31B194717D}" name="April1" dataDxfId="84"/>
    <tableColumn id="19" xr3:uid="{A0A6E7F4-F98B-455C-9557-113D3A326895}" name="May1" dataDxfId="83"/>
    <tableColumn id="20" xr3:uid="{ABE9976B-798E-4C3D-8FA8-CDB18E5AE225}" name="June1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DE207A-0FB4-429C-AB81-19DA4498553E}" name="tAccountOverwiew5" displayName="tAccountOverwiew5" ref="A1:B28" totalsRowShown="0">
  <autoFilter ref="A1:B28" xr:uid="{25DE207A-0FB4-429C-AB81-19DA4498553E}"/>
  <tableColumns count="2">
    <tableColumn id="1" xr3:uid="{63475E48-19A8-4A5C-B565-F4FC07E4C20E}" name="Account" dataDxfId="77"/>
    <tableColumn id="2" xr3:uid="{1080863D-BEBE-4C7A-ACE7-403BB99E5D0A}" name="Nam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A67ED9-28A2-4AC2-9240-326F80A4D7EF}" name="tActuals7" displayName="tActuals7" ref="E1:Z55" totalsRowShown="0" headerRowDxfId="76">
  <autoFilter ref="E1:Z55" xr:uid="{20A67ED9-28A2-4AC2-9240-326F80A4D7EF}"/>
  <tableColumns count="22">
    <tableColumn id="1" xr3:uid="{4FF9195D-C5AA-424C-B15B-24D2218C0556}" name="Year"/>
    <tableColumn id="2" xr3:uid="{D5EB0941-7E7C-4D2A-9BEC-E3A5F876C83F}" name="Account" dataDxfId="75"/>
    <tableColumn id="3" xr3:uid="{F7A71188-3B24-4B44-914F-251A1718F726}" name="January" dataDxfId="74"/>
    <tableColumn id="4" xr3:uid="{850AB251-2990-4018-B4B4-1EB20DDADB5D}" name="February" dataDxfId="73"/>
    <tableColumn id="5" xr3:uid="{72E3A8D3-D2DB-4173-A538-5C90B909730B}" name="March" dataDxfId="72"/>
    <tableColumn id="6" xr3:uid="{FA92C3E5-C4E5-4661-9FB9-09AE956753A9}" name="April" dataDxfId="71"/>
    <tableColumn id="7" xr3:uid="{483DA9F0-3F19-4540-87EB-211032F3434A}" name="May" dataDxfId="70"/>
    <tableColumn id="8" xr3:uid="{A251C997-8850-4646-83F2-56431B835532}" name="June" dataDxfId="69"/>
    <tableColumn id="9" xr3:uid="{7763A3A2-6ECF-4EDE-9B14-CE9F92607A81}" name="July" dataDxfId="68"/>
    <tableColumn id="10" xr3:uid="{5B096BB3-5F21-46F8-A680-F4A643032983}" name="August" dataDxfId="67"/>
    <tableColumn id="11" xr3:uid="{7C5B5531-87CC-4B69-812B-630182893886}" name="September" dataDxfId="66"/>
    <tableColumn id="12" xr3:uid="{836449F4-E7FE-450A-89B4-9525D2AEB6DC}" name="October" dataDxfId="65"/>
    <tableColumn id="13" xr3:uid="{9EAD594C-F287-46DD-9D35-3526ECDE235A}" name="November" dataDxfId="64"/>
    <tableColumn id="14" xr3:uid="{AABF1E95-5EE0-48F2-A317-0EB172A38FF8}" name="December" dataDxfId="63"/>
    <tableColumn id="15" xr3:uid="{F72416BD-EE46-49A6-9749-019F0674C686}" name="January1" dataDxfId="62"/>
    <tableColumn id="16" xr3:uid="{97FEA4D5-CB15-4169-88B3-5658FEF921ED}" name="February1" dataDxfId="61"/>
    <tableColumn id="17" xr3:uid="{A9DF1AC4-6B8F-4C02-9FC0-82B6E8797BD9}" name="March1" dataDxfId="60"/>
    <tableColumn id="18" xr3:uid="{7C3A07ED-8B27-4562-9920-316C45788A48}" name="April1" dataDxfId="59"/>
    <tableColumn id="19" xr3:uid="{B4A82B8F-6A03-49F4-967E-AA6B9774500A}" name="May1" dataDxfId="58"/>
    <tableColumn id="20" xr3:uid="{C8F60FFF-D5AB-4A9D-ADFC-2F004A2129B6}" name="June1" dataDxfId="57"/>
    <tableColumn id="21" xr3:uid="{95DFB223-C2DA-4AA5-B270-435ECBED897E}" name="SUM TOTAL" dataDxfId="56">
      <calculatedColumnFormula>SUM(tActuals7[[#This Row],[January]:[June1]])</calculatedColumnFormula>
    </tableColumn>
    <tableColumn id="22" xr3:uid="{2F754B27-57D0-42F2-906F-F874F3D20F17}" name="Kolumna1" dataDxfId="55">
      <calculatedColumnFormula>_xlfn.XLOOKUP(tActuals7[[#This Row],[Account]],A:A,B:B)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FD450-C880-495E-9B84-8EC2394AFDD3}" name="tActuals_1" displayName="tActuals_1" ref="A1:F466" tableType="queryTable" totalsRowShown="0" headerRowDxfId="31">
  <autoFilter ref="A1:F466" xr:uid="{DEAFD450-C880-495E-9B84-8EC2394AFDD3}"/>
  <sortState xmlns:xlrd2="http://schemas.microsoft.com/office/spreadsheetml/2017/richdata2" ref="A2:F466">
    <sortCondition ref="A1:A466"/>
  </sortState>
  <tableColumns count="6">
    <tableColumn id="1" xr3:uid="{C724079F-3E21-4876-8386-1B8BB633BFB0}" uniqueName="1" name="Year" queryTableFieldId="1"/>
    <tableColumn id="2" xr3:uid="{41E7B954-1564-4916-B1EF-B39ED5875474}" uniqueName="2" name="Account" queryTableFieldId="2"/>
    <tableColumn id="8" xr3:uid="{9F5D7C0D-076F-4BB8-AEAF-F6EEA61234D0}" uniqueName="8" name="Year_month" queryTableFieldId="8" dataDxfId="30"/>
    <tableColumn id="5" xr3:uid="{46FA7639-9600-4F3E-956F-E59D80D489B6}" uniqueName="5" name="Month" queryTableFieldId="5" dataDxfId="29"/>
    <tableColumn id="7" xr3:uid="{42772BA1-D130-419F-9DCD-520A409CB869}" uniqueName="7" name="Account_description" queryTableFieldId="7" dataDxfId="28">
      <calculatedColumnFormula>_xlfn.XLOOKUP(tActuals_1[[#This Row],[Account]],'Account-Overview'!A:A,'Account-Overview'!B:B)</calculatedColumnFormula>
    </tableColumn>
    <tableColumn id="6" xr3:uid="{18A695FB-E3C6-45AA-B88B-586801B13430}" uniqueName="6" name="Value" queryTableFieldId="6" dataDxf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24E924-BB85-4166-AB8E-BCBEAD498606}" name="tPL_ACT_TOTAL" displayName="tPL_ACT_TOTAL" ref="A2:S42" totalsRowShown="0" headerRowDxfId="26">
  <autoFilter ref="A2:S42" xr:uid="{AD24E924-BB85-4166-AB8E-BCBEAD498606}"/>
  <tableColumns count="19">
    <tableColumn id="1" xr3:uid="{D2EF1B85-413A-42E2-B77D-EB9EA124F4C9}" name="CATEGORY">
      <calculatedColumnFormula>tActuals!I12</calculatedColumnFormula>
    </tableColumn>
    <tableColumn id="2" xr3:uid="{E7266DD2-801A-4BA4-9B96-42368BAC1C3A}" name="2024.01" dataDxfId="25">
      <calculatedColumnFormula>tActuals!J12</calculatedColumnFormula>
    </tableColumn>
    <tableColumn id="3" xr3:uid="{29BE2A8D-D15D-472E-BF75-5C60C0D358F7}" name="2024.02" dataDxfId="24">
      <calculatedColumnFormula>tActuals!K12</calculatedColumnFormula>
    </tableColumn>
    <tableColumn id="4" xr3:uid="{A828562D-C414-4E31-AF8F-95A430368E26}" name="2024.03" dataDxfId="23">
      <calculatedColumnFormula>tActuals!L12</calculatedColumnFormula>
    </tableColumn>
    <tableColumn id="5" xr3:uid="{0B4D275C-C940-48CF-82CA-CA6C4D42F18C}" name="2024.04" dataDxfId="22">
      <calculatedColumnFormula>tActuals!M12</calculatedColumnFormula>
    </tableColumn>
    <tableColumn id="6" xr3:uid="{A4567054-AA6F-4932-A7F5-234905FD693C}" name="2024.05" dataDxfId="21">
      <calculatedColumnFormula>tActuals!N12</calculatedColumnFormula>
    </tableColumn>
    <tableColumn id="7" xr3:uid="{E9454D81-156E-43BA-A8B3-80F0BB7BD57E}" name="2024.06" dataDxfId="20">
      <calculatedColumnFormula>tActuals!O12</calculatedColumnFormula>
    </tableColumn>
    <tableColumn id="8" xr3:uid="{DA66F2E2-8DAB-4104-9C53-4B955367A756}" name="2024.07" dataDxfId="19">
      <calculatedColumnFormula>tActuals!P12</calculatedColumnFormula>
    </tableColumn>
    <tableColumn id="9" xr3:uid="{11898016-5F9B-4FFA-8BB2-65907F0DD77B}" name="2024.08" dataDxfId="18">
      <calculatedColumnFormula>tActuals!Q12</calculatedColumnFormula>
    </tableColumn>
    <tableColumn id="10" xr3:uid="{2AFBE19F-C8C0-4E53-A3A3-D5696613B1A1}" name="2024.09" dataDxfId="17">
      <calculatedColumnFormula>tActuals!R12</calculatedColumnFormula>
    </tableColumn>
    <tableColumn id="11" xr3:uid="{FC71F927-BC5C-428F-B1CD-C9EF303DBC53}" name="2024.10" dataDxfId="16">
      <calculatedColumnFormula>tActuals!S12</calculatedColumnFormula>
    </tableColumn>
    <tableColumn id="12" xr3:uid="{C23C6E8E-9472-4B65-95CE-DD9339337D6E}" name="2024.11" dataDxfId="15">
      <calculatedColumnFormula>tActuals!T12</calculatedColumnFormula>
    </tableColumn>
    <tableColumn id="13" xr3:uid="{714FC110-AB0E-457E-BB4A-7E8774A22D65}" name="2024.12" dataDxfId="14">
      <calculatedColumnFormula>tActuals!U12</calculatedColumnFormula>
    </tableColumn>
    <tableColumn id="14" xr3:uid="{C1BC88D9-560F-4C7F-9A53-EAF91AE10664}" name="2025.01" dataDxfId="13">
      <calculatedColumnFormula>tActuals!V12</calculatedColumnFormula>
    </tableColumn>
    <tableColumn id="15" xr3:uid="{42085771-2585-4DF2-BA4F-E1CA69F6E020}" name="2025.02" dataDxfId="12">
      <calculatedColumnFormula>tActuals!W12</calculatedColumnFormula>
    </tableColumn>
    <tableColumn id="16" xr3:uid="{E4FC0226-6BFA-4156-8B4D-B1C5520296E3}" name="2025.03" dataDxfId="11">
      <calculatedColumnFormula>tActuals!X12</calculatedColumnFormula>
    </tableColumn>
    <tableColumn id="17" xr3:uid="{75C95DD0-3F82-494A-848C-E95425B75CE1}" name="2025.04" dataDxfId="10">
      <calculatedColumnFormula>tActuals!Y12</calculatedColumnFormula>
    </tableColumn>
    <tableColumn id="18" xr3:uid="{4AFDE251-5AB0-4ABF-8727-75BEF2C3241B}" name="2025.05" dataDxfId="9">
      <calculatedColumnFormula>tActuals!Z12</calculatedColumnFormula>
    </tableColumn>
    <tableColumn id="19" xr3:uid="{05AEA38A-8F2F-461E-AF79-A111400493A8}" name="2025.06" dataDxfId="8">
      <calculatedColumnFormula>tActuals!AA12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iebieski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3DAA-7B10-4A52-A9D1-A6E07F67B4BB}">
  <dimension ref="A1:M28"/>
  <sheetViews>
    <sheetView zoomScale="115" zoomScaleNormal="115" workbookViewId="0">
      <pane ySplit="1" topLeftCell="A2" activePane="bottomLeft" state="frozen"/>
      <selection activeCell="B8" sqref="B8"/>
      <selection pane="bottomLeft" activeCell="F14" sqref="F14"/>
    </sheetView>
  </sheetViews>
  <sheetFormatPr defaultColWidth="10.85546875" defaultRowHeight="15" x14ac:dyDescent="0.25"/>
  <cols>
    <col min="1" max="1" width="17.42578125" style="4" customWidth="1"/>
    <col min="2" max="2" width="31.42578125" bestFit="1" customWidth="1"/>
    <col min="12" max="12" width="12.28515625" bestFit="1" customWidth="1"/>
    <col min="13" max="13" width="13.140625" bestFit="1" customWidth="1"/>
  </cols>
  <sheetData>
    <row r="1" spans="1:13" s="2" customFormat="1" x14ac:dyDescent="0.25">
      <c r="A1" s="5" t="s">
        <v>0</v>
      </c>
      <c r="B1" s="2" t="s">
        <v>28</v>
      </c>
    </row>
    <row r="2" spans="1:13" x14ac:dyDescent="0.25">
      <c r="A2" s="9">
        <v>2003100005</v>
      </c>
      <c r="B2" t="s">
        <v>37</v>
      </c>
    </row>
    <row r="3" spans="1:13" x14ac:dyDescent="0.25">
      <c r="A3" s="9">
        <v>2003100006</v>
      </c>
      <c r="B3" t="s">
        <v>38</v>
      </c>
    </row>
    <row r="4" spans="1:13" x14ac:dyDescent="0.25">
      <c r="A4" s="9">
        <v>2003100007</v>
      </c>
      <c r="B4" t="s">
        <v>39</v>
      </c>
    </row>
    <row r="5" spans="1:13" x14ac:dyDescent="0.25">
      <c r="A5" s="9">
        <v>2211200001</v>
      </c>
      <c r="B5" t="s">
        <v>40</v>
      </c>
      <c r="L5" s="120"/>
      <c r="M5" s="119"/>
    </row>
    <row r="6" spans="1:13" x14ac:dyDescent="0.25">
      <c r="A6" s="9">
        <v>2211200002</v>
      </c>
      <c r="B6" t="s">
        <v>41</v>
      </c>
      <c r="L6" s="120"/>
      <c r="M6" s="119"/>
    </row>
    <row r="7" spans="1:13" x14ac:dyDescent="0.25">
      <c r="A7" s="9">
        <v>2211200003</v>
      </c>
      <c r="B7" t="s">
        <v>42</v>
      </c>
      <c r="L7" s="120"/>
      <c r="M7" s="119"/>
    </row>
    <row r="8" spans="1:13" x14ac:dyDescent="0.25">
      <c r="A8" s="9">
        <v>2201201000</v>
      </c>
      <c r="B8" t="s">
        <v>43</v>
      </c>
    </row>
    <row r="9" spans="1:13" x14ac:dyDescent="0.25">
      <c r="A9" s="9">
        <v>2690200007</v>
      </c>
      <c r="B9" t="s">
        <v>29</v>
      </c>
    </row>
    <row r="10" spans="1:13" x14ac:dyDescent="0.25">
      <c r="A10" s="9">
        <v>2690200010</v>
      </c>
      <c r="B10" t="s">
        <v>53</v>
      </c>
    </row>
    <row r="11" spans="1:13" x14ac:dyDescent="0.25">
      <c r="A11" s="9">
        <v>2532300000</v>
      </c>
      <c r="B11" t="s">
        <v>26</v>
      </c>
    </row>
    <row r="12" spans="1:13" x14ac:dyDescent="0.25">
      <c r="A12" s="9">
        <v>2530200000</v>
      </c>
      <c r="B12" t="s">
        <v>52</v>
      </c>
    </row>
    <row r="13" spans="1:13" x14ac:dyDescent="0.25">
      <c r="A13" s="9">
        <v>2530300000</v>
      </c>
      <c r="B13" t="s">
        <v>54</v>
      </c>
    </row>
    <row r="14" spans="1:13" x14ac:dyDescent="0.25">
      <c r="A14" s="9">
        <v>2400210100</v>
      </c>
      <c r="B14" t="s">
        <v>48</v>
      </c>
    </row>
    <row r="15" spans="1:13" x14ac:dyDescent="0.25">
      <c r="A15" s="9">
        <v>2400210200</v>
      </c>
      <c r="B15" t="s">
        <v>30</v>
      </c>
    </row>
    <row r="16" spans="1:13" x14ac:dyDescent="0.25">
      <c r="A16" s="9">
        <v>2400210120</v>
      </c>
      <c r="B16" t="s">
        <v>31</v>
      </c>
    </row>
    <row r="17" spans="1:2" x14ac:dyDescent="0.25">
      <c r="A17" s="9">
        <v>2546100100</v>
      </c>
      <c r="B17" t="s">
        <v>32</v>
      </c>
    </row>
    <row r="18" spans="1:2" x14ac:dyDescent="0.25">
      <c r="A18" s="9">
        <v>2544601400</v>
      </c>
      <c r="B18" t="s">
        <v>33</v>
      </c>
    </row>
    <row r="19" spans="1:2" x14ac:dyDescent="0.25">
      <c r="A19" s="9">
        <v>2544600140</v>
      </c>
      <c r="B19" t="s">
        <v>34</v>
      </c>
    </row>
    <row r="20" spans="1:2" x14ac:dyDescent="0.25">
      <c r="A20" s="9">
        <v>2544600120</v>
      </c>
      <c r="B20" t="s">
        <v>35</v>
      </c>
    </row>
    <row r="21" spans="1:2" x14ac:dyDescent="0.25">
      <c r="A21" s="9">
        <v>2544600170</v>
      </c>
      <c r="B21" t="s">
        <v>36</v>
      </c>
    </row>
    <row r="22" spans="1:2" x14ac:dyDescent="0.25">
      <c r="A22" s="9">
        <v>2561400000</v>
      </c>
      <c r="B22" t="s">
        <v>19</v>
      </c>
    </row>
    <row r="23" spans="1:2" x14ac:dyDescent="0.25">
      <c r="A23" s="9">
        <v>2627300000</v>
      </c>
      <c r="B23" t="s">
        <v>49</v>
      </c>
    </row>
    <row r="24" spans="1:2" x14ac:dyDescent="0.25">
      <c r="A24" s="9">
        <v>2627100000</v>
      </c>
      <c r="B24" t="s">
        <v>47</v>
      </c>
    </row>
    <row r="25" spans="1:2" x14ac:dyDescent="0.25">
      <c r="A25" s="9">
        <v>2601100200</v>
      </c>
      <c r="B25" t="s">
        <v>21</v>
      </c>
    </row>
    <row r="26" spans="1:2" x14ac:dyDescent="0.25">
      <c r="A26" s="9">
        <v>2633100000</v>
      </c>
      <c r="B26" t="s">
        <v>44</v>
      </c>
    </row>
    <row r="27" spans="1:2" x14ac:dyDescent="0.25">
      <c r="A27" s="9">
        <v>2633600000</v>
      </c>
      <c r="B27" t="s">
        <v>45</v>
      </c>
    </row>
    <row r="28" spans="1:2" x14ac:dyDescent="0.25">
      <c r="A28" s="9">
        <v>2616100000</v>
      </c>
      <c r="B28" t="s">
        <v>46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zoomScale="85" zoomScaleNormal="85" workbookViewId="0">
      <pane ySplit="1" topLeftCell="A2" activePane="bottomLeft" state="frozen"/>
      <selection activeCell="B8" sqref="B8"/>
      <selection pane="bottomLeft" sqref="A1:T1048576"/>
    </sheetView>
  </sheetViews>
  <sheetFormatPr defaultColWidth="11.5703125" defaultRowHeight="15" x14ac:dyDescent="0.25"/>
  <cols>
    <col min="1" max="1" width="9.5703125" bestFit="1" customWidth="1"/>
    <col min="2" max="2" width="12.7109375" bestFit="1" customWidth="1"/>
    <col min="3" max="3" width="13.85546875" bestFit="1" customWidth="1"/>
    <col min="4" max="8" width="14.42578125" bestFit="1" customWidth="1"/>
    <col min="9" max="9" width="13.85546875" bestFit="1" customWidth="1"/>
    <col min="10" max="10" width="14.42578125" bestFit="1" customWidth="1"/>
    <col min="11" max="11" width="15.42578125" bestFit="1" customWidth="1"/>
    <col min="12" max="12" width="14.42578125" bestFit="1" customWidth="1"/>
    <col min="13" max="13" width="15" bestFit="1" customWidth="1"/>
    <col min="14" max="14" width="14.7109375" bestFit="1" customWidth="1"/>
    <col min="15" max="15" width="13.85546875" bestFit="1" customWidth="1"/>
    <col min="16" max="20" width="14.42578125" bestFit="1" customWidth="1"/>
  </cols>
  <sheetData>
    <row r="1" spans="1:20" s="11" customFormat="1" x14ac:dyDescent="0.25">
      <c r="A1" s="11" t="s">
        <v>1</v>
      </c>
      <c r="B1" s="11" t="s">
        <v>0</v>
      </c>
      <c r="C1" s="11" t="s">
        <v>13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</row>
    <row r="2" spans="1:20" ht="14.45" customHeight="1" x14ac:dyDescent="0.25">
      <c r="A2">
        <v>2024</v>
      </c>
      <c r="B2" s="9">
        <v>2003100005</v>
      </c>
      <c r="C2" s="10">
        <v>15253265.183500798</v>
      </c>
      <c r="D2" s="10">
        <v>21088785.627172202</v>
      </c>
      <c r="E2" s="10">
        <v>28741335.630000003</v>
      </c>
      <c r="F2" s="10">
        <v>26580932.569999997</v>
      </c>
      <c r="G2" s="10">
        <v>23988357.32</v>
      </c>
      <c r="H2" s="10">
        <v>19024409.09</v>
      </c>
      <c r="I2" s="10">
        <v>14219294.350000001</v>
      </c>
      <c r="J2" s="10">
        <v>17479568.300000001</v>
      </c>
      <c r="K2" s="10">
        <v>30454508.600000001</v>
      </c>
      <c r="L2" s="10">
        <v>27409176.349999998</v>
      </c>
      <c r="M2" s="10">
        <v>29731107.890000001</v>
      </c>
      <c r="N2" s="10">
        <v>28260518.369999997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</row>
    <row r="3" spans="1:20" ht="14.45" customHeight="1" x14ac:dyDescent="0.25">
      <c r="A3">
        <v>2024</v>
      </c>
      <c r="B3" s="9">
        <v>2003100006</v>
      </c>
      <c r="C3" s="10">
        <v>1147673.5472020002</v>
      </c>
      <c r="D3" s="10">
        <v>1358569.75037</v>
      </c>
      <c r="E3" s="10">
        <v>1865549.31</v>
      </c>
      <c r="F3" s="10">
        <v>1798306.99</v>
      </c>
      <c r="G3" s="10">
        <v>1442012.0299999998</v>
      </c>
      <c r="H3" s="10">
        <v>1276426.21</v>
      </c>
      <c r="I3" s="10">
        <v>924149.82000000007</v>
      </c>
      <c r="J3" s="10">
        <v>1275012.28</v>
      </c>
      <c r="K3" s="10">
        <v>1870121.79</v>
      </c>
      <c r="L3" s="10">
        <v>1872141.15</v>
      </c>
      <c r="M3" s="10">
        <v>2161137.13</v>
      </c>
      <c r="N3" s="10">
        <v>1688403.08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</row>
    <row r="4" spans="1:20" ht="14.45" customHeight="1" x14ac:dyDescent="0.25">
      <c r="A4">
        <v>2024</v>
      </c>
      <c r="B4" s="9">
        <v>2003100007</v>
      </c>
      <c r="C4" s="10">
        <v>1501984.7344124001</v>
      </c>
      <c r="D4" s="10">
        <v>1151264.0289695999</v>
      </c>
      <c r="E4" s="10">
        <v>1470333.47</v>
      </c>
      <c r="F4" s="10">
        <v>1628563.6500000001</v>
      </c>
      <c r="G4" s="10">
        <v>1562604.23</v>
      </c>
      <c r="H4" s="10">
        <v>1485195.23</v>
      </c>
      <c r="I4" s="10">
        <v>1131820.5599999998</v>
      </c>
      <c r="J4" s="10">
        <v>821780.29</v>
      </c>
      <c r="K4" s="10">
        <v>1303688.0299999998</v>
      </c>
      <c r="L4" s="10">
        <v>1535434.2</v>
      </c>
      <c r="M4" s="10">
        <v>1544790.7000000002</v>
      </c>
      <c r="N4" s="10">
        <v>1497762.41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</row>
    <row r="5" spans="1:20" ht="14.45" customHeight="1" x14ac:dyDescent="0.25">
      <c r="A5">
        <v>2024</v>
      </c>
      <c r="B5" s="9">
        <v>2211200001</v>
      </c>
      <c r="C5" s="10">
        <v>-9336788.7345072329</v>
      </c>
      <c r="D5" s="10">
        <v>-12888477.307886396</v>
      </c>
      <c r="E5" s="10">
        <v>-17560389.519540392</v>
      </c>
      <c r="F5" s="10">
        <v>-16154015.034733448</v>
      </c>
      <c r="G5" s="10">
        <v>-14572287.713533852</v>
      </c>
      <c r="H5" s="10">
        <v>-11649164.578394977</v>
      </c>
      <c r="I5" s="10">
        <v>-8686540.3381481916</v>
      </c>
      <c r="J5" s="10">
        <v>-10685746.351340942</v>
      </c>
      <c r="K5" s="10">
        <v>-18480801.116032291</v>
      </c>
      <c r="L5" s="10">
        <v>-16614971.979088241</v>
      </c>
      <c r="M5" s="10">
        <v>-18080349.897248216</v>
      </c>
      <c r="N5" s="10">
        <v>-17253623.790924061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</row>
    <row r="6" spans="1:20" ht="14.45" customHeight="1" x14ac:dyDescent="0.25">
      <c r="A6">
        <v>2024</v>
      </c>
      <c r="B6" s="9">
        <v>2211200002</v>
      </c>
      <c r="C6" s="10">
        <v>-723645.01494004123</v>
      </c>
      <c r="D6" s="10">
        <v>-851880.0874124564</v>
      </c>
      <c r="E6" s="10">
        <v>-1172064.4363036081</v>
      </c>
      <c r="F6" s="10">
        <v>-1119928.4824158766</v>
      </c>
      <c r="G6" s="10">
        <v>-903671.5366455121</v>
      </c>
      <c r="H6" s="10">
        <v>-811095.8285900976</v>
      </c>
      <c r="I6" s="10">
        <v>-590189.53394671693</v>
      </c>
      <c r="J6" s="10">
        <v>-805823.52410282835</v>
      </c>
      <c r="K6" s="10">
        <v>-1178510.9915419267</v>
      </c>
      <c r="L6" s="10">
        <v>-1166665.5965778399</v>
      </c>
      <c r="M6" s="10">
        <v>-1349251.958093368</v>
      </c>
      <c r="N6" s="10">
        <v>-1055502.7897308101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 spans="1:20" ht="14.45" customHeight="1" x14ac:dyDescent="0.25">
      <c r="A7">
        <v>2024</v>
      </c>
      <c r="B7" s="9">
        <v>2211200003</v>
      </c>
      <c r="C7" s="10">
        <v>-927479.00660414749</v>
      </c>
      <c r="D7" s="10">
        <v>-704715.47410218394</v>
      </c>
      <c r="E7" s="10">
        <v>-891741.66147497704</v>
      </c>
      <c r="F7" s="10">
        <v>-997120.07745444344</v>
      </c>
      <c r="G7" s="10">
        <v>-960150.55309049494</v>
      </c>
      <c r="H7" s="10">
        <v>-920083.11247849581</v>
      </c>
      <c r="I7" s="10">
        <v>-707533.22756387549</v>
      </c>
      <c r="J7" s="10">
        <v>-510035.97374145529</v>
      </c>
      <c r="K7" s="10">
        <v>-798532.1424569916</v>
      </c>
      <c r="L7" s="10">
        <v>-934751.90993476647</v>
      </c>
      <c r="M7" s="10">
        <v>-940569.68295495713</v>
      </c>
      <c r="N7" s="10">
        <v>-919269.08173384296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 spans="1:20" ht="14.45" customHeight="1" x14ac:dyDescent="0.25">
      <c r="A8">
        <v>2024</v>
      </c>
      <c r="B8" s="9">
        <v>2201201000</v>
      </c>
      <c r="C8" s="10">
        <v>-11398.766246217199</v>
      </c>
      <c r="D8" s="10">
        <v>-8839.5312757342381</v>
      </c>
      <c r="E8" s="10">
        <v>-11413.751431754767</v>
      </c>
      <c r="F8" s="10">
        <v>-12483.943369729634</v>
      </c>
      <c r="G8" s="10">
        <v>-11682.298274725941</v>
      </c>
      <c r="H8" s="10">
        <v>-11405.38670121858</v>
      </c>
      <c r="I8" s="10">
        <v>-8858.3160090997208</v>
      </c>
      <c r="J8" s="10">
        <v>-6168.2206145791097</v>
      </c>
      <c r="K8" s="10">
        <v>-9898.6360629322153</v>
      </c>
      <c r="L8" s="10">
        <v>-11587.221695428991</v>
      </c>
      <c r="M8" s="10">
        <v>-11659.33904019412</v>
      </c>
      <c r="N8" s="10">
        <v>-11282.471231553485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ht="14.45" customHeight="1" x14ac:dyDescent="0.25">
      <c r="A9">
        <v>2024</v>
      </c>
      <c r="B9" s="9">
        <v>2690200007</v>
      </c>
      <c r="C9" s="10">
        <v>-317875.15393591078</v>
      </c>
      <c r="D9" s="10">
        <v>-409768.75901953521</v>
      </c>
      <c r="E9" s="10">
        <v>-568307.7391289206</v>
      </c>
      <c r="F9" s="10">
        <v>-511261.6976856743</v>
      </c>
      <c r="G9" s="10">
        <v>-467668.52780748886</v>
      </c>
      <c r="H9" s="10">
        <v>-381856.68402023375</v>
      </c>
      <c r="I9" s="10">
        <v>-285451.89651801134</v>
      </c>
      <c r="J9" s="10">
        <v>-344870.89313454035</v>
      </c>
      <c r="K9" s="10">
        <v>-596806.46392799029</v>
      </c>
      <c r="L9" s="10">
        <v>-546218.24839118612</v>
      </c>
      <c r="M9" s="10">
        <v>-589848.29245393933</v>
      </c>
      <c r="N9" s="10">
        <v>-565735.57611375523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</row>
    <row r="10" spans="1:20" ht="14.45" customHeight="1" x14ac:dyDescent="0.25">
      <c r="A10">
        <v>2024</v>
      </c>
      <c r="B10" s="9">
        <v>2690200010</v>
      </c>
      <c r="C10" s="10">
        <v>-67059.167186793871</v>
      </c>
      <c r="D10" s="10">
        <v>-87119.241687380854</v>
      </c>
      <c r="E10" s="10">
        <v>-123829.24404732311</v>
      </c>
      <c r="F10" s="10">
        <v>-118127.48462381828</v>
      </c>
      <c r="G10" s="10">
        <v>-111368.19520867856</v>
      </c>
      <c r="H10" s="10">
        <v>-89145.294525000019</v>
      </c>
      <c r="I10" s="10">
        <v>-65228.702607886691</v>
      </c>
      <c r="J10" s="10">
        <v>-72627.05919597407</v>
      </c>
      <c r="K10" s="10">
        <v>-113058.288</v>
      </c>
      <c r="L10" s="10">
        <v>-120163.84583953067</v>
      </c>
      <c r="M10" s="10">
        <v>-120876.87312739773</v>
      </c>
      <c r="N10" s="10">
        <v>-106978.35630500953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ht="14.45" customHeight="1" x14ac:dyDescent="0.25">
      <c r="A11">
        <v>2024</v>
      </c>
      <c r="B11" s="9">
        <v>2532300000</v>
      </c>
      <c r="C11" s="10">
        <v>-1470207.5748717913</v>
      </c>
      <c r="D11" s="10">
        <v>-1932725.4307341292</v>
      </c>
      <c r="E11" s="10">
        <v>-2446516.2337589473</v>
      </c>
      <c r="F11" s="10">
        <v>-2307060.6568676503</v>
      </c>
      <c r="G11" s="10">
        <v>-2092614.7626787613</v>
      </c>
      <c r="H11" s="10">
        <v>-1618297.103107024</v>
      </c>
      <c r="I11" s="10">
        <v>-1227654.3623487127</v>
      </c>
      <c r="J11" s="10">
        <v>-1435278.968607926</v>
      </c>
      <c r="K11" s="10">
        <v>-2829668.0311388834</v>
      </c>
      <c r="L11" s="10">
        <v>-2625300.9409412681</v>
      </c>
      <c r="M11" s="10">
        <v>-2833429.9650960444</v>
      </c>
      <c r="N11" s="10">
        <v>-2614443.6068102433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ht="14.45" customHeight="1" x14ac:dyDescent="0.25">
      <c r="A12">
        <v>2024</v>
      </c>
      <c r="B12" s="9">
        <v>2530200000</v>
      </c>
      <c r="C12" s="10">
        <v>-2543367.9942725478</v>
      </c>
      <c r="D12" s="10">
        <v>-3367126.0614075279</v>
      </c>
      <c r="E12" s="10">
        <v>-4541273.1791659035</v>
      </c>
      <c r="F12" s="10">
        <v>-4159371.2398202647</v>
      </c>
      <c r="G12" s="10">
        <v>-3748647.2542714346</v>
      </c>
      <c r="H12" s="10">
        <v>-2917515.752655949</v>
      </c>
      <c r="I12" s="10">
        <v>-2140880.4458391913</v>
      </c>
      <c r="J12" s="10">
        <v>-2608054.5929596364</v>
      </c>
      <c r="K12" s="10">
        <v>-4996800.533738289</v>
      </c>
      <c r="L12" s="10">
        <v>-4648491.5434395829</v>
      </c>
      <c r="M12" s="10">
        <v>-4971882.1149100009</v>
      </c>
      <c r="N12" s="10">
        <v>-4596069.2711621691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ht="14.45" customHeight="1" x14ac:dyDescent="0.25">
      <c r="A13">
        <v>2024</v>
      </c>
      <c r="B13" s="9">
        <v>2530300000</v>
      </c>
      <c r="C13" s="10">
        <v>-154319.04551857413</v>
      </c>
      <c r="D13" s="10">
        <v>-138813.11712647995</v>
      </c>
      <c r="E13" s="10">
        <v>-181299.37930454346</v>
      </c>
      <c r="F13" s="10">
        <v>-177292.37985036781</v>
      </c>
      <c r="G13" s="10">
        <v>-165542.04224487388</v>
      </c>
      <c r="H13" s="10">
        <v>-180245.45721077503</v>
      </c>
      <c r="I13" s="10">
        <v>-147634.98828176677</v>
      </c>
      <c r="J13" s="10">
        <v>-106385.89161922825</v>
      </c>
      <c r="K13" s="10">
        <v>-134150.11548120002</v>
      </c>
      <c r="L13" s="10">
        <v>-155344.32453843046</v>
      </c>
      <c r="M13" s="10">
        <v>-184420.57522695707</v>
      </c>
      <c r="N13" s="10">
        <v>-175151.39560348619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ht="14.45" customHeight="1" x14ac:dyDescent="0.25">
      <c r="A14">
        <v>2024</v>
      </c>
      <c r="B14" s="9">
        <v>2400210100</v>
      </c>
      <c r="C14" s="10">
        <v>-1523819.5431297973</v>
      </c>
      <c r="D14" s="10">
        <v>-1531111.157527446</v>
      </c>
      <c r="E14" s="10">
        <v>-1521637.4677494406</v>
      </c>
      <c r="F14" s="10">
        <v>-1512990.6429420649</v>
      </c>
      <c r="G14" s="10">
        <v>-1508750.0401583889</v>
      </c>
      <c r="H14" s="10">
        <v>-1508440.1684676786</v>
      </c>
      <c r="I14" s="10">
        <v>-1507887.838324459</v>
      </c>
      <c r="J14" s="10">
        <v>-1511575.2885234079</v>
      </c>
      <c r="K14" s="10">
        <v>-1540696.4491838852</v>
      </c>
      <c r="L14" s="10">
        <v>-1547838.7569218581</v>
      </c>
      <c r="M14" s="10">
        <v>-1548569.43552806</v>
      </c>
      <c r="N14" s="10">
        <v>-1550788.6754879931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ht="14.45" customHeight="1" x14ac:dyDescent="0.25">
      <c r="A15">
        <v>2024</v>
      </c>
      <c r="B15" s="9">
        <v>2400210200</v>
      </c>
      <c r="C15" s="10">
        <v>-407.01102750000007</v>
      </c>
      <c r="D15" s="10">
        <v>-429.9827298921</v>
      </c>
      <c r="E15" s="10">
        <v>-15309.256958587517</v>
      </c>
      <c r="F15" s="10">
        <v>-582.63859500000012</v>
      </c>
      <c r="G15" s="10">
        <v>-637.2573900000001</v>
      </c>
      <c r="H15" s="10">
        <v>-9051.0420000000013</v>
      </c>
      <c r="I15" s="10">
        <v>-379.34589</v>
      </c>
      <c r="J15" s="10">
        <v>-890.07291450000002</v>
      </c>
      <c r="K15" s="10">
        <v>-26666.753190000007</v>
      </c>
      <c r="L15" s="10">
        <v>-527.99439000000007</v>
      </c>
      <c r="M15" s="10">
        <v>-441.87990000000008</v>
      </c>
      <c r="N15" s="10">
        <v>-89019.466333875011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 spans="1:20" ht="14.45" customHeight="1" x14ac:dyDescent="0.25">
      <c r="A16">
        <v>2024</v>
      </c>
      <c r="B16" s="9">
        <v>2400210120</v>
      </c>
      <c r="C16" s="10">
        <v>-30909.524543259562</v>
      </c>
      <c r="D16" s="10">
        <v>-31057.429415066876</v>
      </c>
      <c r="E16" s="10">
        <v>-30865.262797944328</v>
      </c>
      <c r="F16" s="10">
        <v>-30689.868510077478</v>
      </c>
      <c r="G16" s="10">
        <v>-30603.85109652533</v>
      </c>
      <c r="H16" s="10">
        <v>-30597.565584128239</v>
      </c>
      <c r="I16" s="10">
        <v>-30586.361985779065</v>
      </c>
      <c r="J16" s="10">
        <v>-30661.159118379408</v>
      </c>
      <c r="K16" s="10">
        <v>-31251.859791711402</v>
      </c>
      <c r="L16" s="10">
        <v>-31396.736091085371</v>
      </c>
      <c r="M16" s="10">
        <v>-31411.557352837441</v>
      </c>
      <c r="N16" s="10">
        <v>-31456.572953482682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 spans="1:20" ht="14.45" customHeight="1" x14ac:dyDescent="0.25">
      <c r="A17">
        <v>2024</v>
      </c>
      <c r="B17" s="9">
        <v>2546100100</v>
      </c>
      <c r="C17" s="10">
        <v>-358802.71282625006</v>
      </c>
      <c r="D17" s="10">
        <v>-376107.33455077809</v>
      </c>
      <c r="E17" s="10">
        <v>-445681.77704020828</v>
      </c>
      <c r="F17" s="10">
        <v>-475436.64132128179</v>
      </c>
      <c r="G17" s="10">
        <v>-384962.22418500006</v>
      </c>
      <c r="H17" s="10">
        <v>-366630.68970000005</v>
      </c>
      <c r="I17" s="10">
        <v>-268498.33129350003</v>
      </c>
      <c r="J17" s="10">
        <v>-227638.34806683435</v>
      </c>
      <c r="K17" s="10">
        <v>-413490.11320277973</v>
      </c>
      <c r="L17" s="10">
        <v>-381830.94645313761</v>
      </c>
      <c r="M17" s="10">
        <v>-394643.55968815665</v>
      </c>
      <c r="N17" s="10">
        <v>-372706.14279112499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 spans="1:20" ht="14.45" customHeight="1" x14ac:dyDescent="0.25">
      <c r="A18">
        <v>2024</v>
      </c>
      <c r="B18" s="9">
        <v>2544601400</v>
      </c>
      <c r="C18" s="10">
        <v>-109605.29643112503</v>
      </c>
      <c r="D18" s="10">
        <v>-118609.10477650013</v>
      </c>
      <c r="E18" s="10">
        <v>-123117.26695895618</v>
      </c>
      <c r="F18" s="10">
        <v>-116028.82883361628</v>
      </c>
      <c r="G18" s="10">
        <v>-97509.604500000016</v>
      </c>
      <c r="H18" s="10">
        <v>-92866.290000000023</v>
      </c>
      <c r="I18" s="10">
        <v>-84998.736900000018</v>
      </c>
      <c r="J18" s="10">
        <v>-96952.952550162518</v>
      </c>
      <c r="K18" s="10">
        <v>-156020.26752300485</v>
      </c>
      <c r="L18" s="10">
        <v>-168444.87350460002</v>
      </c>
      <c r="M18" s="10">
        <v>-176087.59613760217</v>
      </c>
      <c r="N18" s="10">
        <v>-142666.17608650003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ht="14.45" customHeight="1" x14ac:dyDescent="0.25">
      <c r="A19">
        <v>2024</v>
      </c>
      <c r="B19" s="9">
        <v>2544600140</v>
      </c>
      <c r="C19" s="10">
        <v>-77705.212594625016</v>
      </c>
      <c r="D19" s="10">
        <v>-102457.95750548822</v>
      </c>
      <c r="E19" s="10">
        <v>-122105.30944693858</v>
      </c>
      <c r="F19" s="10">
        <v>-131622.64395240572</v>
      </c>
      <c r="G19" s="10">
        <v>-165518.77072500001</v>
      </c>
      <c r="H19" s="10">
        <v>-157636.92450000002</v>
      </c>
      <c r="I19" s="10">
        <v>-149852.46899700005</v>
      </c>
      <c r="J19" s="10">
        <v>-136552.84107616253</v>
      </c>
      <c r="K19" s="10">
        <v>-133810.25790000003</v>
      </c>
      <c r="L19" s="10">
        <v>-374669.91324551264</v>
      </c>
      <c r="M19" s="10">
        <v>-263362.75371374527</v>
      </c>
      <c r="N19" s="10">
        <v>-108238.57164697502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14.45" customHeight="1" x14ac:dyDescent="0.25">
      <c r="A20">
        <v>2024</v>
      </c>
      <c r="B20" s="9">
        <v>2544600120</v>
      </c>
      <c r="C20" s="10">
        <v>-5524.3312451250022</v>
      </c>
      <c r="D20" s="10">
        <v>-9752.1445438394639</v>
      </c>
      <c r="E20" s="10">
        <v>-15468.533423580548</v>
      </c>
      <c r="F20" s="10">
        <v>-12906.135046685587</v>
      </c>
      <c r="G20" s="10">
        <v>-11954.921000000002</v>
      </c>
      <c r="H20" s="10">
        <v>-7698.0200000000013</v>
      </c>
      <c r="I20" s="10">
        <v>-6521.4226247500019</v>
      </c>
      <c r="J20" s="10">
        <v>-3642.6022710000002</v>
      </c>
      <c r="K20" s="10">
        <v>-16643.804933507563</v>
      </c>
      <c r="L20" s="10">
        <v>-21757.433195987502</v>
      </c>
      <c r="M20" s="10">
        <v>-19240.915793935452</v>
      </c>
      <c r="N20" s="10">
        <v>-10923.126623750002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 spans="1:20" ht="14.45" customHeight="1" x14ac:dyDescent="0.25">
      <c r="A21">
        <v>2024</v>
      </c>
      <c r="B21" s="9">
        <v>2544600170</v>
      </c>
      <c r="C21" s="10">
        <v>-3866.8847250000008</v>
      </c>
      <c r="D21" s="10">
        <v>-4994.0684132232964</v>
      </c>
      <c r="E21" s="10">
        <v>-6241.18</v>
      </c>
      <c r="F21" s="10">
        <v>-10642.356769379154</v>
      </c>
      <c r="G21" s="10">
        <v>-11738.239645000001</v>
      </c>
      <c r="H21" s="10">
        <v>-10026.894900000003</v>
      </c>
      <c r="I21" s="10">
        <v>-4764.0300592500016</v>
      </c>
      <c r="J21" s="10">
        <v>-2764.8399657725004</v>
      </c>
      <c r="K21" s="10">
        <v>-25028.068353701921</v>
      </c>
      <c r="L21" s="10">
        <v>-27633.961081650003</v>
      </c>
      <c r="M21" s="10">
        <v>-16961.501645555207</v>
      </c>
      <c r="N21" s="10">
        <v>-10536.490884562501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</row>
    <row r="22" spans="1:20" ht="14.45" customHeight="1" x14ac:dyDescent="0.25">
      <c r="A22">
        <v>2024</v>
      </c>
      <c r="B22" s="9">
        <v>2561400000</v>
      </c>
      <c r="C22" s="10">
        <v>-97865.595786750011</v>
      </c>
      <c r="D22" s="10">
        <v>-97865.595786750011</v>
      </c>
      <c r="E22" s="10">
        <v>-97605.446573250039</v>
      </c>
      <c r="F22" s="10">
        <v>-97605.446573250039</v>
      </c>
      <c r="G22" s="10">
        <v>-97605.446573250039</v>
      </c>
      <c r="H22" s="10">
        <v>-97610.712100000004</v>
      </c>
      <c r="I22" s="10">
        <v>-97793.228500000027</v>
      </c>
      <c r="J22" s="10">
        <v>-97961.04340000001</v>
      </c>
      <c r="K22" s="10">
        <v>-97755.343400000012</v>
      </c>
      <c r="L22" s="10">
        <v>-97755.343400000012</v>
      </c>
      <c r="M22" s="10">
        <v>-97755.343400000012</v>
      </c>
      <c r="N22" s="10">
        <v>-97755.343400000012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</row>
    <row r="23" spans="1:20" ht="14.45" customHeight="1" x14ac:dyDescent="0.25">
      <c r="A23">
        <v>2024</v>
      </c>
      <c r="B23" s="9">
        <v>2627300000</v>
      </c>
      <c r="C23" s="10">
        <v>-11832.966279750002</v>
      </c>
      <c r="D23" s="10">
        <v>-10668.467240750004</v>
      </c>
      <c r="E23" s="10">
        <v>-18729.565800000004</v>
      </c>
      <c r="F23" s="10">
        <v>-13879.426000000003</v>
      </c>
      <c r="G23" s="10">
        <v>-6075.5310000000018</v>
      </c>
      <c r="H23" s="10">
        <v>-16220.158900000004</v>
      </c>
      <c r="I23" s="10">
        <v>-11514.541500000003</v>
      </c>
      <c r="J23" s="10">
        <v>-11156.684000000001</v>
      </c>
      <c r="K23" s="10">
        <v>-13266.536800000002</v>
      </c>
      <c r="L23" s="10">
        <v>-6528.4340000000011</v>
      </c>
      <c r="M23" s="10">
        <v>-12028.489000000001</v>
      </c>
      <c r="N23" s="10">
        <v>-31238.467240750007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</row>
    <row r="24" spans="1:20" ht="14.45" customHeight="1" x14ac:dyDescent="0.25">
      <c r="A24">
        <v>2024</v>
      </c>
      <c r="B24" s="9">
        <v>2627100000</v>
      </c>
      <c r="C24" s="10">
        <v>-5825.3423401250011</v>
      </c>
      <c r="D24" s="10">
        <v>-1805.8392563750003</v>
      </c>
      <c r="E24" s="10">
        <v>-9079.840000000002</v>
      </c>
      <c r="F24" s="10">
        <v>-10433.467000000002</v>
      </c>
      <c r="G24" s="10">
        <v>-10286.197900000001</v>
      </c>
      <c r="H24" s="10">
        <v>-3214.2198000000008</v>
      </c>
      <c r="I24" s="10">
        <v>-4135.187100000001</v>
      </c>
      <c r="J24" s="10">
        <v>-2146.4432000000002</v>
      </c>
      <c r="K24" s="10">
        <v>-2135.0813000000003</v>
      </c>
      <c r="L24" s="10">
        <v>-11247.119400000001</v>
      </c>
      <c r="M24" s="10">
        <v>-1803.5413000000003</v>
      </c>
      <c r="N24" s="10">
        <v>-2119.2666000000004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 spans="1:20" ht="14.45" customHeight="1" x14ac:dyDescent="0.25">
      <c r="A25">
        <v>2024</v>
      </c>
      <c r="B25" s="9">
        <v>2601100200</v>
      </c>
      <c r="C25" s="10">
        <v>-12827.642847250003</v>
      </c>
      <c r="D25" s="10">
        <v>-8990.7802792500006</v>
      </c>
      <c r="E25" s="10">
        <v>0</v>
      </c>
      <c r="F25" s="10">
        <v>-3847.8000000000006</v>
      </c>
      <c r="G25" s="10">
        <v>-7295.2231000000002</v>
      </c>
      <c r="H25" s="10">
        <v>-7630.3810000000012</v>
      </c>
      <c r="I25" s="10">
        <v>-10130.797600000002</v>
      </c>
      <c r="J25" s="10">
        <v>-1985.7673000000004</v>
      </c>
      <c r="K25" s="10">
        <v>0</v>
      </c>
      <c r="L25" s="10">
        <v>-10368.163300000002</v>
      </c>
      <c r="M25" s="10">
        <v>-5253.4328000000014</v>
      </c>
      <c r="N25" s="10">
        <v>-6869.5330000000013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 spans="1:20" ht="14.45" customHeight="1" x14ac:dyDescent="0.25">
      <c r="A26">
        <v>2024</v>
      </c>
      <c r="B26" s="9">
        <v>2633100000</v>
      </c>
      <c r="C26" s="10">
        <v>-71770.089737500006</v>
      </c>
      <c r="D26" s="10">
        <v>-13956.64980325</v>
      </c>
      <c r="E26" s="10">
        <v>0</v>
      </c>
      <c r="F26" s="10">
        <v>0</v>
      </c>
      <c r="G26" s="10">
        <v>0</v>
      </c>
      <c r="H26" s="10">
        <v>-33073.329300000005</v>
      </c>
      <c r="I26" s="10">
        <v>-8268.3293000000012</v>
      </c>
      <c r="J26" s="10">
        <v>-8268.3293000000012</v>
      </c>
      <c r="K26" s="10">
        <v>-8268.3293000000012</v>
      </c>
      <c r="L26" s="10">
        <v>-8268.3293000000012</v>
      </c>
      <c r="M26" s="10">
        <v>-8268.3293000000012</v>
      </c>
      <c r="N26" s="10">
        <v>-8268.3293000000012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 spans="1:20" ht="14.45" customHeight="1" x14ac:dyDescent="0.25">
      <c r="A27">
        <v>2024</v>
      </c>
      <c r="B27" s="9">
        <v>2633600000</v>
      </c>
      <c r="C27" s="10">
        <v>-26991.973556625006</v>
      </c>
      <c r="D27" s="10">
        <v>-28304.255113750001</v>
      </c>
      <c r="E27" s="10">
        <v>-27343.580000000005</v>
      </c>
      <c r="F27" s="10">
        <v>-24900.348000000002</v>
      </c>
      <c r="G27" s="10">
        <v>-26122.569000000007</v>
      </c>
      <c r="H27" s="10">
        <v>-27268.221200000007</v>
      </c>
      <c r="I27" s="10">
        <v>-31253.670800000007</v>
      </c>
      <c r="J27" s="10">
        <v>-29210.198600000003</v>
      </c>
      <c r="K27" s="10">
        <v>-26770.209400000003</v>
      </c>
      <c r="L27" s="10">
        <v>-28728.921100000003</v>
      </c>
      <c r="M27" s="10">
        <v>-30726.582700000003</v>
      </c>
      <c r="N27" s="10">
        <v>-30158.354600000002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 spans="1:20" ht="14.45" customHeight="1" x14ac:dyDescent="0.25">
      <c r="A28">
        <v>2024</v>
      </c>
      <c r="B28" s="9">
        <v>2616100000</v>
      </c>
      <c r="C28" s="10">
        <v>0</v>
      </c>
      <c r="D28" s="10">
        <v>0</v>
      </c>
      <c r="E28" s="10">
        <v>-36964.048000000003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 spans="1:20" ht="14.45" customHeight="1" x14ac:dyDescent="0.25">
      <c r="A29">
        <v>2025</v>
      </c>
      <c r="B29" s="9">
        <v>2003100005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15587141.759999998</v>
      </c>
      <c r="P29" s="10">
        <v>21550395.090000004</v>
      </c>
      <c r="Q29" s="10">
        <v>25921509.449999996</v>
      </c>
      <c r="R29" s="10">
        <v>19150184.419999998</v>
      </c>
      <c r="S29" s="10">
        <v>20358143.84</v>
      </c>
      <c r="T29" s="10">
        <v>18521907.539999999</v>
      </c>
    </row>
    <row r="30" spans="1:20" ht="14.45" customHeight="1" x14ac:dyDescent="0.25">
      <c r="A30">
        <v>2025</v>
      </c>
      <c r="B30" s="9">
        <v>2003100006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1162130.4500000002</v>
      </c>
      <c r="P30" s="10">
        <v>1375683.25</v>
      </c>
      <c r="Q30" s="10">
        <v>1741665.93</v>
      </c>
      <c r="R30" s="10">
        <v>1276638.8700000001</v>
      </c>
      <c r="S30" s="10">
        <v>1297552.5299999998</v>
      </c>
      <c r="T30" s="10">
        <v>1173863.2000000002</v>
      </c>
    </row>
    <row r="31" spans="1:20" ht="14.45" customHeight="1" x14ac:dyDescent="0.25">
      <c r="A31">
        <v>2025</v>
      </c>
      <c r="B31" s="9">
        <v>2003100007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1520904.79</v>
      </c>
      <c r="P31" s="10">
        <v>1165766.1599999999</v>
      </c>
      <c r="Q31" s="10">
        <v>1397252.56</v>
      </c>
      <c r="R31" s="10">
        <v>1562865.42</v>
      </c>
      <c r="S31" s="10">
        <v>1748359.82</v>
      </c>
      <c r="T31" s="10">
        <v>1444158.71</v>
      </c>
    </row>
    <row r="32" spans="1:20" ht="14.45" customHeight="1" x14ac:dyDescent="0.25">
      <c r="A32">
        <v>2025</v>
      </c>
      <c r="B32" s="9">
        <v>2211200001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-9511517.2004292104</v>
      </c>
      <c r="P32" s="10">
        <v>-13135651.094679004</v>
      </c>
      <c r="Q32" s="10">
        <v>-15677777.382166883</v>
      </c>
      <c r="R32" s="10">
        <v>-11529761.10350487</v>
      </c>
      <c r="S32" s="10">
        <v>-12207980.403199045</v>
      </c>
      <c r="T32" s="10">
        <v>-11216653.512991706</v>
      </c>
    </row>
    <row r="33" spans="1:20" ht="14.45" customHeight="1" x14ac:dyDescent="0.25">
      <c r="A33">
        <v>2025</v>
      </c>
      <c r="B33" s="9">
        <v>2211200002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-729894.78932666406</v>
      </c>
      <c r="P33" s="10">
        <v>-860147.62850186089</v>
      </c>
      <c r="Q33" s="10">
        <v>-1085322.4078376205</v>
      </c>
      <c r="R33" s="10">
        <v>-790838.16351295868</v>
      </c>
      <c r="S33" s="10">
        <v>-806592.5920911869</v>
      </c>
      <c r="T33" s="10">
        <v>-734792.92918374401</v>
      </c>
    </row>
    <row r="34" spans="1:20" ht="14.45" customHeight="1" x14ac:dyDescent="0.25">
      <c r="A34">
        <v>2025</v>
      </c>
      <c r="B34" s="9">
        <v>2211200003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-927464.07947095949</v>
      </c>
      <c r="P34" s="10">
        <v>-705415.86234208697</v>
      </c>
      <c r="Q34" s="10">
        <v>-844968.03555313603</v>
      </c>
      <c r="R34" s="10">
        <v>-951185.12176403822</v>
      </c>
      <c r="S34" s="10">
        <v>-1063118.2467180912</v>
      </c>
      <c r="T34" s="10">
        <v>-883462.24840680009</v>
      </c>
    </row>
    <row r="35" spans="1:20" ht="14.45" customHeight="1" x14ac:dyDescent="0.25">
      <c r="A35">
        <v>2025</v>
      </c>
      <c r="B35" s="9">
        <v>2201201000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-11611.850274976412</v>
      </c>
      <c r="P35" s="10">
        <v>-8922.8193539330478</v>
      </c>
      <c r="Q35" s="10">
        <v>-10794.897760331902</v>
      </c>
      <c r="R35" s="10">
        <v>-12371.126846267103</v>
      </c>
      <c r="S35" s="10">
        <v>-13693.74107909236</v>
      </c>
      <c r="T35" s="10">
        <v>-11170.573158653138</v>
      </c>
    </row>
    <row r="36" spans="1:20" ht="14.45" customHeight="1" x14ac:dyDescent="0.25">
      <c r="A36">
        <v>2025</v>
      </c>
      <c r="B36" s="9">
        <v>2690200007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-329966.84307302831</v>
      </c>
      <c r="P36" s="10">
        <v>-444477.28743122064</v>
      </c>
      <c r="Q36" s="10">
        <v>-530386.95979647711</v>
      </c>
      <c r="R36" s="10">
        <v>-380806.02657311741</v>
      </c>
      <c r="S36" s="10">
        <v>-409564.1491219647</v>
      </c>
      <c r="T36" s="10">
        <v>-367756.22248826141</v>
      </c>
    </row>
    <row r="37" spans="1:20" ht="14.45" customHeight="1" x14ac:dyDescent="0.25">
      <c r="A37">
        <v>2025</v>
      </c>
      <c r="B37" s="9">
        <v>2690200010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-74250.497054608073</v>
      </c>
      <c r="P37" s="10">
        <v>-90525.201571920741</v>
      </c>
      <c r="Q37" s="10">
        <v>-120810.01492454309</v>
      </c>
      <c r="R37" s="10">
        <v>-111996.59830255566</v>
      </c>
      <c r="S37" s="10">
        <v>-114779.62223885756</v>
      </c>
      <c r="T37" s="10">
        <v>-104151.2659339878</v>
      </c>
    </row>
    <row r="38" spans="1:20" ht="14.45" customHeight="1" x14ac:dyDescent="0.25">
      <c r="A38">
        <v>2025</v>
      </c>
      <c r="B38" s="9">
        <v>2532300000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-1830023.9135537171</v>
      </c>
      <c r="P38" s="10">
        <v>-2405737.6774740806</v>
      </c>
      <c r="Q38" s="10">
        <v>-2768479.8280276647</v>
      </c>
      <c r="R38" s="10">
        <v>-2084666.5777848272</v>
      </c>
      <c r="S38" s="10">
        <v>-2202174.6291354145</v>
      </c>
      <c r="T38" s="10">
        <v>-1982751.8174181338</v>
      </c>
    </row>
    <row r="39" spans="1:20" ht="14.45" customHeight="1" x14ac:dyDescent="0.25">
      <c r="A39">
        <v>2025</v>
      </c>
      <c r="B39" s="9">
        <v>2530200000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-2778072.4982260326</v>
      </c>
      <c r="P39" s="10">
        <v>-3677847.7712706476</v>
      </c>
      <c r="Q39" s="10">
        <v>-4284234.8750721337</v>
      </c>
      <c r="R39" s="10">
        <v>-3178369.075623937</v>
      </c>
      <c r="S39" s="10">
        <v>-3385070.5480162837</v>
      </c>
      <c r="T39" s="10">
        <v>-3050680.7288258751</v>
      </c>
    </row>
    <row r="40" spans="1:20" ht="14.45" customHeight="1" x14ac:dyDescent="0.25">
      <c r="A40">
        <v>2025</v>
      </c>
      <c r="B40" s="9">
        <v>2530300000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-156074.8880086717</v>
      </c>
      <c r="P40" s="10">
        <v>-140392.53312412635</v>
      </c>
      <c r="Q40" s="10">
        <v>-180733.35611055975</v>
      </c>
      <c r="R40" s="10">
        <v>-163355.03418914252</v>
      </c>
      <c r="S40" s="10">
        <v>-185825.34447021439</v>
      </c>
      <c r="T40" s="10">
        <v>-148540.53177824614</v>
      </c>
    </row>
    <row r="41" spans="1:20" ht="14.45" customHeight="1" x14ac:dyDescent="0.25">
      <c r="A41">
        <v>2025</v>
      </c>
      <c r="B41" s="9">
        <v>2400210100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-1542025.3909785931</v>
      </c>
      <c r="P41" s="10">
        <v>-1561231.0370585187</v>
      </c>
      <c r="Q41" s="10">
        <v>-1543421.3917061251</v>
      </c>
      <c r="R41" s="10">
        <v>-1559364.2245044285</v>
      </c>
      <c r="S41" s="10">
        <v>-1549069.9559610896</v>
      </c>
      <c r="T41" s="10">
        <v>-1552312.410868014</v>
      </c>
    </row>
    <row r="42" spans="1:20" ht="14.45" customHeight="1" x14ac:dyDescent="0.25">
      <c r="A42">
        <v>2025</v>
      </c>
      <c r="B42" s="9">
        <v>2400210200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-415.55055742033682</v>
      </c>
      <c r="P42" s="10">
        <v>-434.61418857232928</v>
      </c>
      <c r="Q42" s="10">
        <v>-20457.160535096336</v>
      </c>
      <c r="R42" s="10">
        <v>-769.53963193034656</v>
      </c>
      <c r="S42" s="10">
        <v>-580.92697704545765</v>
      </c>
      <c r="T42" s="10">
        <v>-8439.6192744227756</v>
      </c>
    </row>
    <row r="43" spans="1:20" ht="14.45" customHeight="1" x14ac:dyDescent="0.25">
      <c r="A43">
        <v>2025</v>
      </c>
      <c r="B43" s="9">
        <v>2400210120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-31278.816368824017</v>
      </c>
      <c r="P43" s="10">
        <v>-31668.388343768856</v>
      </c>
      <c r="Q43" s="10">
        <v>-31307.133185565603</v>
      </c>
      <c r="R43" s="10">
        <v>-31630.52146594958</v>
      </c>
      <c r="S43" s="10">
        <v>-31421.710030481503</v>
      </c>
      <c r="T43" s="10">
        <v>-31487.480770841059</v>
      </c>
    </row>
    <row r="44" spans="1:20" ht="14.45" customHeight="1" x14ac:dyDescent="0.25">
      <c r="A44">
        <v>2025</v>
      </c>
      <c r="B44" s="9">
        <v>2546100100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-359256.31929000001</v>
      </c>
      <c r="P44" s="10">
        <v>-369330.92676575581</v>
      </c>
      <c r="Q44" s="10">
        <v>-425180.18966605875</v>
      </c>
      <c r="R44" s="10">
        <v>-358492.33783221879</v>
      </c>
      <c r="S44" s="10">
        <v>-303859.33126635099</v>
      </c>
      <c r="T44" s="10">
        <v>-286833.30015779997</v>
      </c>
    </row>
    <row r="45" spans="1:20" ht="14.45" customHeight="1" x14ac:dyDescent="0.25">
      <c r="A45">
        <v>2025</v>
      </c>
      <c r="B45" s="9">
        <v>2544601400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-120743.03726100002</v>
      </c>
      <c r="P45" s="10">
        <v>-128562.52376125654</v>
      </c>
      <c r="Q45" s="10">
        <v>-132254.70154772289</v>
      </c>
      <c r="R45" s="10">
        <v>-131225.52788252197</v>
      </c>
      <c r="S45" s="10">
        <v>-113819.14772511229</v>
      </c>
      <c r="T45" s="10">
        <v>-108185.12812800003</v>
      </c>
    </row>
    <row r="46" spans="1:20" ht="14.45" customHeight="1" x14ac:dyDescent="0.25">
      <c r="A46">
        <v>2025</v>
      </c>
      <c r="B46" s="9">
        <v>2544600140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-77803.449273000006</v>
      </c>
      <c r="P46" s="10">
        <v>-90917.016300000018</v>
      </c>
      <c r="Q46" s="10">
        <v>-108164.70699812661</v>
      </c>
      <c r="R46" s="10">
        <v>-142914.88007725426</v>
      </c>
      <c r="S46" s="10">
        <v>-133451.56798714478</v>
      </c>
      <c r="T46" s="10">
        <v>-144759.45764610005</v>
      </c>
    </row>
    <row r="47" spans="1:20" ht="14.45" customHeight="1" x14ac:dyDescent="0.25">
      <c r="A47">
        <v>2025</v>
      </c>
      <c r="B47" s="9">
        <v>2544600120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-12718.715229000001</v>
      </c>
      <c r="P47" s="10">
        <v>-13651.578459708369</v>
      </c>
      <c r="Q47" s="10">
        <v>-16336.879192012504</v>
      </c>
      <c r="R47" s="10">
        <v>-15475.386891739785</v>
      </c>
      <c r="S47" s="10">
        <v>-11421.3553828605</v>
      </c>
      <c r="T47" s="10">
        <v>-12351.666690000002</v>
      </c>
    </row>
    <row r="48" spans="1:20" ht="14.45" customHeight="1" x14ac:dyDescent="0.25">
      <c r="A48">
        <v>2025</v>
      </c>
      <c r="B48" s="9">
        <v>2544600170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-2632.9842000000003</v>
      </c>
      <c r="P48" s="10">
        <v>-2560.9757513725699</v>
      </c>
      <c r="Q48" s="10">
        <v>-2620.5616775250001</v>
      </c>
      <c r="R48" s="10">
        <v>-3759.3345729041562</v>
      </c>
      <c r="S48" s="10">
        <v>-3757.0973813010005</v>
      </c>
      <c r="T48" s="10">
        <v>-3807.1657800000003</v>
      </c>
    </row>
    <row r="49" spans="1:20" ht="14.45" customHeight="1" x14ac:dyDescent="0.25">
      <c r="A49">
        <v>2025</v>
      </c>
      <c r="B49" s="9">
        <v>2561400000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-96777.789966000011</v>
      </c>
      <c r="P49" s="10">
        <v>-96777.789966000011</v>
      </c>
      <c r="Q49" s="10">
        <v>-96777.789966000011</v>
      </c>
      <c r="R49" s="10">
        <v>-96777.789966000011</v>
      </c>
      <c r="S49" s="10">
        <v>-96777.789966000011</v>
      </c>
      <c r="T49" s="10">
        <v>-96777.789966000011</v>
      </c>
    </row>
    <row r="50" spans="1:20" ht="14.45" customHeight="1" x14ac:dyDescent="0.25">
      <c r="A50">
        <v>2025</v>
      </c>
      <c r="B50" s="9">
        <v>2627300000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-11847.925782000002</v>
      </c>
      <c r="P50" s="10">
        <v>-8517.8596140000009</v>
      </c>
      <c r="Q50" s="10">
        <v>-2207.6099100000006</v>
      </c>
      <c r="R50" s="10">
        <v>-7067.7178110000013</v>
      </c>
      <c r="S50" s="10">
        <v>-12834.947466000003</v>
      </c>
      <c r="T50" s="10">
        <v>-22129.992621000005</v>
      </c>
    </row>
    <row r="51" spans="1:20" ht="14.45" customHeight="1" x14ac:dyDescent="0.25">
      <c r="A51">
        <v>2025</v>
      </c>
      <c r="B51" s="9">
        <v>2627100000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-5832.7068690000006</v>
      </c>
      <c r="P51" s="10">
        <v>-1808.1222390000003</v>
      </c>
      <c r="Q51" s="10">
        <v>-7327.0032660000015</v>
      </c>
      <c r="R51" s="10">
        <v>-7621.5548970000018</v>
      </c>
      <c r="S51" s="10">
        <v>-2082.0939480000002</v>
      </c>
      <c r="T51" s="10">
        <v>-2059.214058</v>
      </c>
    </row>
    <row r="52" spans="1:20" ht="14.45" customHeight="1" x14ac:dyDescent="0.25">
      <c r="A52">
        <v>2025</v>
      </c>
      <c r="B52" s="9">
        <v>2601100200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-12843.859842000002</v>
      </c>
      <c r="P52" s="10">
        <v>-9002.1466260000016</v>
      </c>
      <c r="Q52" s="10">
        <v>-674.07030900000018</v>
      </c>
      <c r="R52" s="10">
        <v>-782.94744000000003</v>
      </c>
      <c r="S52" s="10">
        <v>-1103.4935010000002</v>
      </c>
      <c r="T52" s="10">
        <v>-4852.5611310000004</v>
      </c>
    </row>
    <row r="53" spans="1:20" ht="14.45" customHeight="1" x14ac:dyDescent="0.25">
      <c r="A53">
        <v>2025</v>
      </c>
      <c r="B53" s="9">
        <v>2633100000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-71860.823100000009</v>
      </c>
      <c r="P53" s="10">
        <v>-13974.294114</v>
      </c>
      <c r="Q53" s="10">
        <v>-9383.5460070000008</v>
      </c>
      <c r="R53" s="10">
        <v>-10880.322057000001</v>
      </c>
      <c r="S53" s="10">
        <v>-10131.934032000001</v>
      </c>
      <c r="T53" s="10">
        <v>-10131.934032000001</v>
      </c>
    </row>
    <row r="54" spans="1:20" ht="14.45" customHeight="1" x14ac:dyDescent="0.25">
      <c r="A54">
        <v>2025</v>
      </c>
      <c r="B54" s="9">
        <v>2633600000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-27026.097417000004</v>
      </c>
      <c r="P54" s="10">
        <v>-28340.037990000004</v>
      </c>
      <c r="Q54" s="10">
        <v>-28256.017284000001</v>
      </c>
      <c r="R54" s="10">
        <v>-25741.912680000005</v>
      </c>
      <c r="S54" s="10">
        <v>-24393.041343000004</v>
      </c>
      <c r="T54" s="10">
        <v>-25141.213746000005</v>
      </c>
    </row>
    <row r="55" spans="1:20" ht="14.45" customHeight="1" x14ac:dyDescent="0.25">
      <c r="A55">
        <v>2025</v>
      </c>
      <c r="B55" s="9">
        <v>2616100000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-38153.678013000012</v>
      </c>
      <c r="R55" s="10">
        <v>0</v>
      </c>
      <c r="S55" s="10">
        <v>0</v>
      </c>
      <c r="T55" s="10"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8E4A-844A-43BF-AD3A-415732D1622B}">
  <dimension ref="B1:O26"/>
  <sheetViews>
    <sheetView zoomScale="115" zoomScaleNormal="115" workbookViewId="0">
      <pane ySplit="3" topLeftCell="A4" activePane="bottomLeft" state="frozen"/>
      <selection activeCell="B8" sqref="B8"/>
      <selection pane="bottomLeft" activeCell="B8" sqref="B8"/>
    </sheetView>
  </sheetViews>
  <sheetFormatPr defaultColWidth="10.85546875" defaultRowHeight="15" x14ac:dyDescent="0.25"/>
  <cols>
    <col min="2" max="2" width="17.28515625" bestFit="1" customWidth="1"/>
    <col min="4" max="15" width="12" bestFit="1" customWidth="1"/>
  </cols>
  <sheetData>
    <row r="1" spans="2:15" x14ac:dyDescent="0.25"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5" x14ac:dyDescent="0.25">
      <c r="D2" s="24" t="s">
        <v>110</v>
      </c>
      <c r="E2" s="24" t="s">
        <v>111</v>
      </c>
      <c r="F2" s="24" t="s">
        <v>112</v>
      </c>
      <c r="G2" s="24" t="s">
        <v>113</v>
      </c>
      <c r="H2" s="24" t="s">
        <v>114</v>
      </c>
      <c r="I2" s="24" t="s">
        <v>115</v>
      </c>
      <c r="J2" s="24" t="s">
        <v>116</v>
      </c>
      <c r="K2" s="24" t="s">
        <v>117</v>
      </c>
      <c r="L2" s="24" t="s">
        <v>118</v>
      </c>
      <c r="M2" s="24" t="s">
        <v>119</v>
      </c>
      <c r="N2" s="24" t="s">
        <v>120</v>
      </c>
      <c r="O2" s="24" t="s">
        <v>121</v>
      </c>
    </row>
    <row r="3" spans="2:15" x14ac:dyDescent="0.25"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</row>
    <row r="4" spans="2:15" x14ac:dyDescent="0.25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2:15" x14ac:dyDescent="0.25">
      <c r="B6" t="s">
        <v>14</v>
      </c>
      <c r="D6" s="6">
        <v>18928135.072498478</v>
      </c>
      <c r="E6" s="6">
        <v>24920142.093276463</v>
      </c>
      <c r="F6" s="6">
        <v>33841465.42255</v>
      </c>
      <c r="G6" s="6">
        <v>31628224.583339993</v>
      </c>
      <c r="H6" s="6">
        <v>28396608.206160001</v>
      </c>
      <c r="I6" s="6">
        <v>22853546.025970001</v>
      </c>
      <c r="J6" s="6">
        <v>16910000.054470003</v>
      </c>
      <c r="K6" s="6">
        <v>20320262.58306</v>
      </c>
      <c r="L6" s="6">
        <v>37167698.933705002</v>
      </c>
      <c r="M6" s="6">
        <v>34279013.753494993</v>
      </c>
      <c r="N6" s="6">
        <v>37110361.590127759</v>
      </c>
      <c r="O6" s="6">
        <v>34586886.816891879</v>
      </c>
    </row>
    <row r="7" spans="2:15" x14ac:dyDescent="0.25">
      <c r="B7" t="s">
        <v>15</v>
      </c>
      <c r="D7" s="6">
        <v>-11379260.889478678</v>
      </c>
      <c r="E7" s="6">
        <v>-14940672.270526728</v>
      </c>
      <c r="F7" s="6">
        <v>-20325399.297635794</v>
      </c>
      <c r="G7" s="6">
        <v>-18975128.868847851</v>
      </c>
      <c r="H7" s="6">
        <v>-17054295.842964519</v>
      </c>
      <c r="I7" s="6">
        <v>-13728918.022774482</v>
      </c>
      <c r="J7" s="6">
        <v>-10145183.362461647</v>
      </c>
      <c r="K7" s="6">
        <v>-12170512.164061371</v>
      </c>
      <c r="L7" s="6">
        <v>-22281428.484606322</v>
      </c>
      <c r="M7" s="6">
        <v>-20527854.643009987</v>
      </c>
      <c r="N7" s="6">
        <v>-22204997.80304775</v>
      </c>
      <c r="O7" s="6">
        <v>-20700360.939808652</v>
      </c>
    </row>
    <row r="8" spans="2:15" ht="15.75" thickBot="1" x14ac:dyDescent="0.3">
      <c r="B8" s="1" t="s">
        <v>16</v>
      </c>
      <c r="C8" s="1"/>
      <c r="D8" s="7">
        <f>SUM(D6:D7)</f>
        <v>7548874.1830198001</v>
      </c>
      <c r="E8" s="7">
        <f t="shared" ref="E8:O8" si="0">SUM(E6:E7)</f>
        <v>9979469.8227497358</v>
      </c>
      <c r="F8" s="7">
        <f t="shared" si="0"/>
        <v>13516066.124914207</v>
      </c>
      <c r="G8" s="7">
        <f t="shared" si="0"/>
        <v>12653095.714492142</v>
      </c>
      <c r="H8" s="7">
        <f t="shared" si="0"/>
        <v>11342312.363195483</v>
      </c>
      <c r="I8" s="7">
        <f t="shared" si="0"/>
        <v>9124628.0031955186</v>
      </c>
      <c r="J8" s="7">
        <f t="shared" si="0"/>
        <v>6764816.6920083556</v>
      </c>
      <c r="K8" s="7">
        <f t="shared" si="0"/>
        <v>8149750.4189986289</v>
      </c>
      <c r="L8" s="7">
        <f t="shared" si="0"/>
        <v>14886270.44909868</v>
      </c>
      <c r="M8" s="7">
        <f t="shared" si="0"/>
        <v>13751159.110485006</v>
      </c>
      <c r="N8" s="7">
        <f t="shared" si="0"/>
        <v>14905363.787080009</v>
      </c>
      <c r="O8" s="7">
        <f t="shared" si="0"/>
        <v>13886525.877083227</v>
      </c>
    </row>
    <row r="9" spans="2:15" ht="15.75" thickTop="1" x14ac:dyDescent="0.25"/>
    <row r="10" spans="2:15" x14ac:dyDescent="0.25">
      <c r="B10" t="s">
        <v>25</v>
      </c>
      <c r="D10" s="6">
        <v>-425933.52437138214</v>
      </c>
      <c r="E10" s="6">
        <v>-560769.6642574626</v>
      </c>
      <c r="F10" s="6">
        <v>-761523.23417545937</v>
      </c>
      <c r="G10" s="6">
        <v>-711719.41212343529</v>
      </c>
      <c r="H10" s="6">
        <v>-638999.42424948665</v>
      </c>
      <c r="I10" s="6">
        <v>-514265.74070512032</v>
      </c>
      <c r="J10" s="6">
        <v>-380520.10368340794</v>
      </c>
      <c r="K10" s="6">
        <v>-457260.10645021329</v>
      </c>
      <c r="L10" s="6">
        <v>-836372.35992725717</v>
      </c>
      <c r="M10" s="6">
        <v>-771369.23865336482</v>
      </c>
      <c r="N10" s="6">
        <v>-835082.11676624767</v>
      </c>
      <c r="O10" s="6">
        <v>-778297.20374075358</v>
      </c>
    </row>
    <row r="11" spans="2:15" x14ac:dyDescent="0.25">
      <c r="B11" t="s">
        <v>26</v>
      </c>
      <c r="D11" s="6">
        <v>-1666186.2385877755</v>
      </c>
      <c r="E11" s="6">
        <v>-2162748.0164199658</v>
      </c>
      <c r="F11" s="6">
        <v>-2853089.8029714175</v>
      </c>
      <c r="G11" s="6">
        <v>-2627283.7802903662</v>
      </c>
      <c r="H11" s="6">
        <v>-2288427.6901496761</v>
      </c>
      <c r="I11" s="6">
        <v>-1841723.0383378961</v>
      </c>
      <c r="J11" s="6">
        <v>-1320813.5830333168</v>
      </c>
      <c r="K11" s="6">
        <v>-1612377.234865766</v>
      </c>
      <c r="L11" s="6">
        <v>-3179597.401376348</v>
      </c>
      <c r="M11" s="6">
        <v>-3017477.462500765</v>
      </c>
      <c r="N11" s="6">
        <v>-3312722.4466760238</v>
      </c>
      <c r="O11" s="6">
        <v>-2958815.8158739386</v>
      </c>
    </row>
    <row r="12" spans="2:15" x14ac:dyDescent="0.25">
      <c r="B12" t="s">
        <v>27</v>
      </c>
      <c r="D12" s="6">
        <v>-2929859.4297916428</v>
      </c>
      <c r="E12" s="6">
        <v>-3825209.161681666</v>
      </c>
      <c r="F12" s="6">
        <v>-5107316.0562991342</v>
      </c>
      <c r="G12" s="6">
        <v>-4732498.8242035117</v>
      </c>
      <c r="H12" s="6">
        <v>-4248955.3782227663</v>
      </c>
      <c r="I12" s="6">
        <v>-3331115.959181576</v>
      </c>
      <c r="J12" s="6">
        <v>-2399352.2174073793</v>
      </c>
      <c r="K12" s="6">
        <v>-2857021.6092472407</v>
      </c>
      <c r="L12" s="6">
        <v>-5753135.8893773099</v>
      </c>
      <c r="M12" s="6">
        <v>-5394433.7090460155</v>
      </c>
      <c r="N12" s="6">
        <v>-5792129.5618906952</v>
      </c>
      <c r="O12" s="6">
        <v>-5309041.8116723811</v>
      </c>
    </row>
    <row r="13" spans="2:15" ht="15.75" thickBot="1" x14ac:dyDescent="0.3">
      <c r="B13" s="1" t="s">
        <v>50</v>
      </c>
      <c r="C13" s="1"/>
      <c r="D13" s="7">
        <f t="shared" ref="D13:O13" si="1">SUM(D10:D12)</f>
        <v>-5021979.1927508004</v>
      </c>
      <c r="E13" s="7">
        <f t="shared" si="1"/>
        <v>-6548726.8423590939</v>
      </c>
      <c r="F13" s="7">
        <f t="shared" si="1"/>
        <v>-8721929.0934460107</v>
      </c>
      <c r="G13" s="7">
        <f t="shared" si="1"/>
        <v>-8071502.016617313</v>
      </c>
      <c r="H13" s="7">
        <f t="shared" si="1"/>
        <v>-7176382.4926219285</v>
      </c>
      <c r="I13" s="7">
        <f t="shared" si="1"/>
        <v>-5687104.7382245921</v>
      </c>
      <c r="J13" s="7">
        <f t="shared" si="1"/>
        <v>-4100685.904124104</v>
      </c>
      <c r="K13" s="7">
        <f t="shared" si="1"/>
        <v>-4926658.9505632203</v>
      </c>
      <c r="L13" s="7">
        <f t="shared" si="1"/>
        <v>-9769105.6506809145</v>
      </c>
      <c r="M13" s="7">
        <f t="shared" si="1"/>
        <v>-9183280.4102001451</v>
      </c>
      <c r="N13" s="7">
        <f t="shared" si="1"/>
        <v>-9939934.1253329664</v>
      </c>
      <c r="O13" s="7">
        <f t="shared" si="1"/>
        <v>-9046154.831287073</v>
      </c>
    </row>
    <row r="14" spans="2:15" ht="15.75" thickTop="1" x14ac:dyDescent="0.25"/>
    <row r="15" spans="2:15" ht="15.75" thickBot="1" x14ac:dyDescent="0.3">
      <c r="B15" s="1" t="s">
        <v>51</v>
      </c>
      <c r="C15" s="1"/>
      <c r="D15" s="7">
        <f t="shared" ref="D15:O15" si="2">D8+D13</f>
        <v>2526894.9902689997</v>
      </c>
      <c r="E15" s="7">
        <f t="shared" si="2"/>
        <v>3430742.9803906418</v>
      </c>
      <c r="F15" s="7">
        <f t="shared" si="2"/>
        <v>4794137.0314681958</v>
      </c>
      <c r="G15" s="7">
        <f t="shared" si="2"/>
        <v>4581593.6978748292</v>
      </c>
      <c r="H15" s="7">
        <f t="shared" si="2"/>
        <v>4165929.8705735542</v>
      </c>
      <c r="I15" s="7">
        <f t="shared" si="2"/>
        <v>3437523.2649709266</v>
      </c>
      <c r="J15" s="7">
        <f t="shared" si="2"/>
        <v>2664130.7878842517</v>
      </c>
      <c r="K15" s="7">
        <f t="shared" si="2"/>
        <v>3223091.4684354085</v>
      </c>
      <c r="L15" s="7">
        <f t="shared" si="2"/>
        <v>5117164.7984177656</v>
      </c>
      <c r="M15" s="7">
        <f t="shared" si="2"/>
        <v>4567878.700284861</v>
      </c>
      <c r="N15" s="7">
        <f t="shared" si="2"/>
        <v>4965429.6617470421</v>
      </c>
      <c r="O15" s="7">
        <f t="shared" si="2"/>
        <v>4840371.0457961541</v>
      </c>
    </row>
    <row r="16" spans="2:15" ht="15.75" thickTop="1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2:15" x14ac:dyDescent="0.25">
      <c r="B17" t="s">
        <v>18</v>
      </c>
      <c r="D17" s="6">
        <v>-1539741.8983129349</v>
      </c>
      <c r="E17" s="6">
        <v>-1539741.8983129349</v>
      </c>
      <c r="F17" s="6">
        <v>-1539741.8983129349</v>
      </c>
      <c r="G17" s="6">
        <v>-1539741.8983129349</v>
      </c>
      <c r="H17" s="6">
        <v>-1539741.8983129349</v>
      </c>
      <c r="I17" s="6">
        <v>-1539741.8983129349</v>
      </c>
      <c r="J17" s="6">
        <v>-1539741.8983129349</v>
      </c>
      <c r="K17" s="6">
        <v>-1539741.8983129349</v>
      </c>
      <c r="L17" s="6">
        <v>-1539741.8983129349</v>
      </c>
      <c r="M17" s="6">
        <v>-1539741.8983129349</v>
      </c>
      <c r="N17" s="6">
        <v>-1539741.8983129349</v>
      </c>
      <c r="O17" s="6">
        <v>-1539741.8983129349</v>
      </c>
    </row>
    <row r="18" spans="2:15" x14ac:dyDescent="0.25">
      <c r="B18" t="s">
        <v>17</v>
      </c>
      <c r="D18" s="6">
        <v>-594389.74846967391</v>
      </c>
      <c r="E18" s="6">
        <v>-654755.05247511726</v>
      </c>
      <c r="F18" s="6">
        <v>-762497.05155056156</v>
      </c>
      <c r="G18" s="6">
        <v>-798901.16833800438</v>
      </c>
      <c r="H18" s="6">
        <v>-718701.62325885019</v>
      </c>
      <c r="I18" s="6">
        <v>-679298.93643700017</v>
      </c>
      <c r="J18" s="6">
        <v>-550659.43916571513</v>
      </c>
      <c r="K18" s="6">
        <v>-500280.19480502716</v>
      </c>
      <c r="L18" s="6">
        <v>-797141.98774690367</v>
      </c>
      <c r="M18" s="6">
        <v>-1042540.7264045499</v>
      </c>
      <c r="N18" s="6">
        <v>-931217.06986752432</v>
      </c>
      <c r="O18" s="6">
        <v>-690225.44359521649</v>
      </c>
    </row>
    <row r="19" spans="2:15" x14ac:dyDescent="0.25">
      <c r="B19" t="s">
        <v>19</v>
      </c>
      <c r="D19" s="6">
        <v>-98844.251744617504</v>
      </c>
      <c r="E19" s="6">
        <v>-98844.251744617504</v>
      </c>
      <c r="F19" s="6">
        <v>-98581.501038982533</v>
      </c>
      <c r="G19" s="6">
        <v>-98581.501038982533</v>
      </c>
      <c r="H19" s="6">
        <v>-98581.501038982533</v>
      </c>
      <c r="I19" s="6">
        <v>-98586.819221000012</v>
      </c>
      <c r="J19" s="6">
        <v>-98771.160785000029</v>
      </c>
      <c r="K19" s="6">
        <v>-98940.653834000012</v>
      </c>
      <c r="L19" s="6">
        <v>-98732.896833999999</v>
      </c>
      <c r="M19" s="6">
        <v>-98732.896833999999</v>
      </c>
      <c r="N19" s="6">
        <v>-98732.896833999999</v>
      </c>
      <c r="O19" s="6">
        <v>-98732.896833999999</v>
      </c>
    </row>
    <row r="20" spans="2:15" x14ac:dyDescent="0.25">
      <c r="B20" t="s">
        <v>22</v>
      </c>
      <c r="D20" s="6">
        <v>-17658.308619875002</v>
      </c>
      <c r="E20" s="6">
        <v>-12474.306497125002</v>
      </c>
      <c r="F20" s="6">
        <v>-15709.405800000002</v>
      </c>
      <c r="G20" s="6">
        <v>-14632.893000000002</v>
      </c>
      <c r="H20" s="6">
        <v>-16361.728900000002</v>
      </c>
      <c r="I20" s="6">
        <v>-20406.097635000009</v>
      </c>
      <c r="J20" s="6">
        <v>-16432.215030000003</v>
      </c>
      <c r="K20" s="6">
        <v>-13968.283560000003</v>
      </c>
      <c r="L20" s="6">
        <v>-16171.699005000004</v>
      </c>
      <c r="M20" s="6">
        <v>-18664.331070000004</v>
      </c>
      <c r="N20" s="6">
        <v>-14523.631815000002</v>
      </c>
      <c r="O20" s="6">
        <v>-35025.620532787507</v>
      </c>
    </row>
    <row r="21" spans="2:15" x14ac:dyDescent="0.25">
      <c r="B21" t="s">
        <v>21</v>
      </c>
      <c r="D21" s="6">
        <v>-14849.600051047786</v>
      </c>
      <c r="E21" s="6">
        <v>-10407.952020766785</v>
      </c>
      <c r="F21" s="6">
        <v>0</v>
      </c>
      <c r="G21" s="6">
        <v>-4454.3094750000009</v>
      </c>
      <c r="H21" s="6">
        <v>-8445.132641137503</v>
      </c>
      <c r="I21" s="6">
        <v>-8833.119805125003</v>
      </c>
      <c r="J21" s="6">
        <v>-11727.664571700001</v>
      </c>
      <c r="K21" s="6">
        <v>-2298.7738706625009</v>
      </c>
      <c r="L21" s="6">
        <v>0</v>
      </c>
      <c r="M21" s="6">
        <v>-12002.445040162502</v>
      </c>
      <c r="N21" s="6">
        <v>-6081.5051451000018</v>
      </c>
      <c r="O21" s="6">
        <v>-7952.3431391250033</v>
      </c>
    </row>
    <row r="22" spans="2:15" x14ac:dyDescent="0.25">
      <c r="B22" t="s">
        <v>20</v>
      </c>
      <c r="D22" s="6">
        <v>-103700.16645883126</v>
      </c>
      <c r="E22" s="6">
        <v>-44373.950162850007</v>
      </c>
      <c r="F22" s="6">
        <v>-67523.009400000024</v>
      </c>
      <c r="G22" s="6">
        <v>-26145.365400000006</v>
      </c>
      <c r="H22" s="6">
        <v>-27428.697450000003</v>
      </c>
      <c r="I22" s="6">
        <v>-63358.628025000013</v>
      </c>
      <c r="J22" s="6">
        <v>-41498.100105000005</v>
      </c>
      <c r="K22" s="6">
        <v>-39352.45429500001</v>
      </c>
      <c r="L22" s="6">
        <v>-36790.465635000008</v>
      </c>
      <c r="M22" s="6">
        <v>-38847.112920000007</v>
      </c>
      <c r="N22" s="6">
        <v>-40944.657599999999</v>
      </c>
      <c r="O22" s="6">
        <v>-42889.018095000007</v>
      </c>
    </row>
    <row r="23" spans="2:15" ht="15.75" thickBot="1" x14ac:dyDescent="0.3">
      <c r="B23" s="1" t="s">
        <v>23</v>
      </c>
      <c r="C23" s="1"/>
      <c r="D23" s="7">
        <f t="shared" ref="D23:O23" si="3">SUM(D17:D22)</f>
        <v>-2369183.9736569803</v>
      </c>
      <c r="E23" s="7">
        <f t="shared" si="3"/>
        <v>-2360597.4112134115</v>
      </c>
      <c r="F23" s="7">
        <f>SUM(F17:F22)</f>
        <v>-2484052.8661024785</v>
      </c>
      <c r="G23" s="7">
        <f t="shared" si="3"/>
        <v>-2482457.1355649219</v>
      </c>
      <c r="H23" s="7">
        <f t="shared" si="3"/>
        <v>-2409260.5816019052</v>
      </c>
      <c r="I23" s="7">
        <f t="shared" si="3"/>
        <v>-2410225.4994360604</v>
      </c>
      <c r="J23" s="7">
        <f t="shared" si="3"/>
        <v>-2258830.4779703505</v>
      </c>
      <c r="K23" s="7">
        <f t="shared" si="3"/>
        <v>-2194582.2586776246</v>
      </c>
      <c r="L23" s="7">
        <f t="shared" si="3"/>
        <v>-2488578.947533838</v>
      </c>
      <c r="M23" s="7">
        <f t="shared" si="3"/>
        <v>-2750529.4105816474</v>
      </c>
      <c r="N23" s="7">
        <f t="shared" si="3"/>
        <v>-2631241.659574559</v>
      </c>
      <c r="O23" s="7">
        <f t="shared" si="3"/>
        <v>-2414567.2205090639</v>
      </c>
    </row>
    <row r="24" spans="2:15" ht="15.75" thickTop="1" x14ac:dyDescent="0.25"/>
    <row r="25" spans="2:15" ht="15.75" thickBot="1" x14ac:dyDescent="0.3">
      <c r="B25" s="1" t="s">
        <v>24</v>
      </c>
      <c r="C25" s="1"/>
      <c r="D25" s="7">
        <f>D15+D23</f>
        <v>157711.01661201939</v>
      </c>
      <c r="E25" s="7">
        <f t="shared" ref="E25:O25" si="4">E15+E23</f>
        <v>1070145.5691772304</v>
      </c>
      <c r="F25" s="7">
        <f>F15+F23</f>
        <v>2310084.1653657174</v>
      </c>
      <c r="G25" s="7">
        <f t="shared" si="4"/>
        <v>2099136.5623099073</v>
      </c>
      <c r="H25" s="7">
        <f t="shared" si="4"/>
        <v>1756669.288971649</v>
      </c>
      <c r="I25" s="7">
        <f t="shared" si="4"/>
        <v>1027297.7655348661</v>
      </c>
      <c r="J25" s="7">
        <f t="shared" si="4"/>
        <v>405300.30991390115</v>
      </c>
      <c r="K25" s="7">
        <f t="shared" si="4"/>
        <v>1028509.2097577839</v>
      </c>
      <c r="L25" s="7">
        <f t="shared" si="4"/>
        <v>2628585.8508839277</v>
      </c>
      <c r="M25" s="7">
        <f t="shared" si="4"/>
        <v>1817349.2897032136</v>
      </c>
      <c r="N25" s="7">
        <f t="shared" si="4"/>
        <v>2334188.0021724831</v>
      </c>
      <c r="O25" s="7">
        <f t="shared" si="4"/>
        <v>2425803.8252870901</v>
      </c>
    </row>
    <row r="26" spans="2:15" ht="15.75" thickTop="1" x14ac:dyDescent="0.25"/>
  </sheetData>
  <phoneticPr fontId="7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3D47-6C28-42F5-9BA5-FF22E4C9F4E5}">
  <sheetPr>
    <tabColor theme="5" tint="0.59999389629810485"/>
  </sheetPr>
  <dimension ref="A1:AE55"/>
  <sheetViews>
    <sheetView topLeftCell="D1" zoomScale="130" zoomScaleNormal="130" workbookViewId="0">
      <selection activeCell="AG7" sqref="AG7"/>
    </sheetView>
  </sheetViews>
  <sheetFormatPr defaultRowHeight="15" x14ac:dyDescent="0.25"/>
  <cols>
    <col min="1" max="1" width="17.42578125" style="4" customWidth="1"/>
    <col min="2" max="2" width="31.42578125" bestFit="1" customWidth="1"/>
    <col min="4" max="4" width="13.28515625" bestFit="1" customWidth="1"/>
    <col min="5" max="5" width="9.5703125" bestFit="1" customWidth="1"/>
    <col min="6" max="6" width="12.7109375" bestFit="1" customWidth="1"/>
    <col min="7" max="7" width="13.85546875" hidden="1" customWidth="1"/>
    <col min="8" max="12" width="14.42578125" hidden="1" customWidth="1"/>
    <col min="13" max="13" width="13.85546875" hidden="1" customWidth="1"/>
    <col min="14" max="14" width="14.42578125" hidden="1" customWidth="1"/>
    <col min="15" max="15" width="15.42578125" hidden="1" customWidth="1"/>
    <col min="16" max="16" width="14.42578125" hidden="1" customWidth="1"/>
    <col min="17" max="17" width="15" hidden="1" customWidth="1"/>
    <col min="18" max="18" width="14.7109375" hidden="1" customWidth="1"/>
    <col min="19" max="19" width="13.85546875" hidden="1" customWidth="1"/>
    <col min="20" max="24" width="14.42578125" hidden="1" customWidth="1"/>
    <col min="25" max="25" width="15.85546875" bestFit="1" customWidth="1"/>
    <col min="26" max="26" width="31.42578125" bestFit="1" customWidth="1"/>
    <col min="29" max="29" width="17.7109375" bestFit="1" customWidth="1"/>
    <col min="30" max="30" width="18.140625" bestFit="1" customWidth="1"/>
    <col min="31" max="31" width="19.140625" bestFit="1" customWidth="1"/>
  </cols>
  <sheetData>
    <row r="1" spans="1:31" x14ac:dyDescent="0.25">
      <c r="A1" s="5" t="s">
        <v>0</v>
      </c>
      <c r="B1" s="2" t="s">
        <v>28</v>
      </c>
      <c r="E1" s="11" t="s">
        <v>1</v>
      </c>
      <c r="F1" s="11" t="s">
        <v>0</v>
      </c>
      <c r="G1" s="11" t="s">
        <v>13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  <c r="P1" s="11" t="s">
        <v>10</v>
      </c>
      <c r="Q1" s="11" t="s">
        <v>11</v>
      </c>
      <c r="R1" s="11" t="s">
        <v>12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s="11" t="s">
        <v>226</v>
      </c>
      <c r="Z1" s="11" t="s">
        <v>227</v>
      </c>
      <c r="AC1" s="12" t="s">
        <v>1</v>
      </c>
      <c r="AD1" s="4">
        <v>2025</v>
      </c>
    </row>
    <row r="2" spans="1:31" x14ac:dyDescent="0.25">
      <c r="A2" s="9">
        <v>2003100005</v>
      </c>
      <c r="B2" t="s">
        <v>37</v>
      </c>
      <c r="E2">
        <v>2024</v>
      </c>
      <c r="F2" s="9">
        <v>2003100005</v>
      </c>
      <c r="G2" s="10">
        <v>15253265.183500798</v>
      </c>
      <c r="H2" s="10">
        <v>21088785.627172202</v>
      </c>
      <c r="I2" s="10">
        <v>28741335.630000003</v>
      </c>
      <c r="J2" s="10">
        <v>26580932.569999997</v>
      </c>
      <c r="K2" s="10">
        <v>23988357.32</v>
      </c>
      <c r="L2" s="10">
        <v>19024409.09</v>
      </c>
      <c r="M2" s="10">
        <v>14219294.350000001</v>
      </c>
      <c r="N2" s="10">
        <v>17479568.300000001</v>
      </c>
      <c r="O2" s="10">
        <v>30454508.600000001</v>
      </c>
      <c r="P2" s="10">
        <v>27409176.349999998</v>
      </c>
      <c r="Q2" s="10">
        <v>29731107.890000001</v>
      </c>
      <c r="R2" s="10">
        <v>28260518.369999997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f>SUM(tActuals7[[#This Row],[January]:[June1]])</f>
        <v>282231259.28067303</v>
      </c>
      <c r="Z2" s="10" t="str">
        <f>_xlfn.XLOOKUP(tActuals7[[#This Row],[Account]],A:A,B:B)</f>
        <v>Revenue (DE)</v>
      </c>
    </row>
    <row r="3" spans="1:31" x14ac:dyDescent="0.25">
      <c r="A3" s="9">
        <v>2003100006</v>
      </c>
      <c r="B3" t="s">
        <v>38</v>
      </c>
      <c r="E3">
        <v>2024</v>
      </c>
      <c r="F3" s="9">
        <v>2003100006</v>
      </c>
      <c r="G3" s="10">
        <v>1147673.5472020002</v>
      </c>
      <c r="H3" s="10">
        <v>1358569.75037</v>
      </c>
      <c r="I3" s="10">
        <v>1865549.31</v>
      </c>
      <c r="J3" s="10">
        <v>1798306.99</v>
      </c>
      <c r="K3" s="10">
        <v>1442012.0299999998</v>
      </c>
      <c r="L3" s="10">
        <v>1276426.21</v>
      </c>
      <c r="M3" s="10">
        <v>924149.82000000007</v>
      </c>
      <c r="N3" s="10">
        <v>1275012.28</v>
      </c>
      <c r="O3" s="10">
        <v>1870121.79</v>
      </c>
      <c r="P3" s="10">
        <v>1872141.15</v>
      </c>
      <c r="Q3" s="10">
        <v>2161137.13</v>
      </c>
      <c r="R3" s="10">
        <v>1688403.08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f>SUM(tActuals7[[#This Row],[January]:[June1]])</f>
        <v>18679503.087572001</v>
      </c>
      <c r="Z3" s="10" t="str">
        <f>_xlfn.XLOOKUP(tActuals7[[#This Row],[Account]],A:A,B:B)</f>
        <v>Revenue (PL)</v>
      </c>
      <c r="AC3" s="12" t="s">
        <v>224</v>
      </c>
      <c r="AD3" t="s">
        <v>228</v>
      </c>
      <c r="AE3" t="s">
        <v>229</v>
      </c>
    </row>
    <row r="4" spans="1:31" x14ac:dyDescent="0.25">
      <c r="A4" s="9">
        <v>2003100007</v>
      </c>
      <c r="B4" t="s">
        <v>39</v>
      </c>
      <c r="E4">
        <v>2024</v>
      </c>
      <c r="F4" s="9">
        <v>2003100007</v>
      </c>
      <c r="G4" s="10">
        <v>1501984.7344124001</v>
      </c>
      <c r="H4" s="10">
        <v>1151264.0289695999</v>
      </c>
      <c r="I4" s="10">
        <v>1470333.47</v>
      </c>
      <c r="J4" s="10">
        <v>1628563.6500000001</v>
      </c>
      <c r="K4" s="10">
        <v>1562604.23</v>
      </c>
      <c r="L4" s="10">
        <v>1485195.23</v>
      </c>
      <c r="M4" s="10">
        <v>1131820.5599999998</v>
      </c>
      <c r="N4" s="10">
        <v>821780.29</v>
      </c>
      <c r="O4" s="10">
        <v>1303688.0299999998</v>
      </c>
      <c r="P4" s="10">
        <v>1535434.2</v>
      </c>
      <c r="Q4" s="10">
        <v>1544790.7000000002</v>
      </c>
      <c r="R4" s="10">
        <v>1497762.41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f>SUM(tActuals7[[#This Row],[January]:[June1]])</f>
        <v>16635221.533382002</v>
      </c>
      <c r="Z4" s="10" t="str">
        <f>_xlfn.XLOOKUP(tActuals7[[#This Row],[Account]],A:A,B:B)</f>
        <v>Revenue (NL)</v>
      </c>
      <c r="AC4" s="4" t="s">
        <v>37</v>
      </c>
      <c r="AD4" s="6">
        <v>121089282.09999999</v>
      </c>
      <c r="AE4" s="121">
        <v>0.87773763696292961</v>
      </c>
    </row>
    <row r="5" spans="1:31" x14ac:dyDescent="0.25">
      <c r="A5" s="9">
        <v>2211200001</v>
      </c>
      <c r="B5" t="s">
        <v>40</v>
      </c>
      <c r="E5">
        <v>2024</v>
      </c>
      <c r="F5" s="9">
        <v>2211200001</v>
      </c>
      <c r="G5" s="10">
        <v>-9336788.7345072329</v>
      </c>
      <c r="H5" s="10">
        <v>-12888477.307886396</v>
      </c>
      <c r="I5" s="10">
        <v>-17560389.519540392</v>
      </c>
      <c r="J5" s="10">
        <v>-16154015.034733448</v>
      </c>
      <c r="K5" s="10">
        <v>-14572287.713533852</v>
      </c>
      <c r="L5" s="10">
        <v>-11649164.578394977</v>
      </c>
      <c r="M5" s="10">
        <v>-8686540.3381481916</v>
      </c>
      <c r="N5" s="10">
        <v>-10685746.351340942</v>
      </c>
      <c r="O5" s="10">
        <v>-18480801.116032291</v>
      </c>
      <c r="P5" s="10">
        <v>-16614971.979088241</v>
      </c>
      <c r="Q5" s="10">
        <v>-18080349.897248216</v>
      </c>
      <c r="R5" s="10">
        <v>-17253623.790924061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f>SUM(tActuals7[[#This Row],[January]:[June1]])</f>
        <v>-171963156.36137822</v>
      </c>
      <c r="Z5" s="10" t="str">
        <f>_xlfn.XLOOKUP(tActuals7[[#This Row],[Account]],A:A,B:B)</f>
        <v>COGS (DE)</v>
      </c>
      <c r="AC5" s="4" t="s">
        <v>39</v>
      </c>
      <c r="AD5" s="6">
        <v>8839307.4600000009</v>
      </c>
      <c r="AE5" s="121">
        <v>6.4073324308933172E-2</v>
      </c>
    </row>
    <row r="6" spans="1:31" x14ac:dyDescent="0.25">
      <c r="A6" s="9">
        <v>2211200002</v>
      </c>
      <c r="B6" t="s">
        <v>41</v>
      </c>
      <c r="E6">
        <v>2024</v>
      </c>
      <c r="F6" s="9">
        <v>2211200002</v>
      </c>
      <c r="G6" s="10">
        <v>-723645.01494004123</v>
      </c>
      <c r="H6" s="10">
        <v>-851880.0874124564</v>
      </c>
      <c r="I6" s="10">
        <v>-1172064.4363036081</v>
      </c>
      <c r="J6" s="10">
        <v>-1119928.4824158766</v>
      </c>
      <c r="K6" s="10">
        <v>-903671.5366455121</v>
      </c>
      <c r="L6" s="10">
        <v>-811095.8285900976</v>
      </c>
      <c r="M6" s="10">
        <v>-590189.53394671693</v>
      </c>
      <c r="N6" s="10">
        <v>-805823.52410282835</v>
      </c>
      <c r="O6" s="10">
        <v>-1178510.9915419267</v>
      </c>
      <c r="P6" s="10">
        <v>-1166665.5965778399</v>
      </c>
      <c r="Q6" s="10">
        <v>-1349251.958093368</v>
      </c>
      <c r="R6" s="10">
        <v>-1055502.7897308101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f>SUM(tActuals7[[#This Row],[January]:[June1]])</f>
        <v>-11728229.780301083</v>
      </c>
      <c r="Z6" s="10" t="str">
        <f>_xlfn.XLOOKUP(tActuals7[[#This Row],[Account]],A:A,B:B)</f>
        <v>COGS (PL)</v>
      </c>
      <c r="AC6" s="4" t="s">
        <v>38</v>
      </c>
      <c r="AD6" s="6">
        <v>8027534.2299999995</v>
      </c>
      <c r="AE6" s="121">
        <v>5.8189038728137202E-2</v>
      </c>
    </row>
    <row r="7" spans="1:31" x14ac:dyDescent="0.25">
      <c r="A7" s="9">
        <v>2211200003</v>
      </c>
      <c r="B7" t="s">
        <v>42</v>
      </c>
      <c r="E7">
        <v>2024</v>
      </c>
      <c r="F7" s="9">
        <v>2211200003</v>
      </c>
      <c r="G7" s="10">
        <v>-927479.00660414749</v>
      </c>
      <c r="H7" s="10">
        <v>-704715.47410218394</v>
      </c>
      <c r="I7" s="10">
        <v>-891741.66147497704</v>
      </c>
      <c r="J7" s="10">
        <v>-997120.07745444344</v>
      </c>
      <c r="K7" s="10">
        <v>-960150.55309049494</v>
      </c>
      <c r="L7" s="10">
        <v>-920083.11247849581</v>
      </c>
      <c r="M7" s="10">
        <v>-707533.22756387549</v>
      </c>
      <c r="N7" s="10">
        <v>-510035.97374145529</v>
      </c>
      <c r="O7" s="10">
        <v>-798532.1424569916</v>
      </c>
      <c r="P7" s="10">
        <v>-934751.90993476647</v>
      </c>
      <c r="Q7" s="10">
        <v>-940569.68295495713</v>
      </c>
      <c r="R7" s="10">
        <v>-919269.08173384296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f>SUM(tActuals7[[#This Row],[January]:[June1]])</f>
        <v>-10211981.903590633</v>
      </c>
      <c r="Z7" s="10" t="str">
        <f>_xlfn.XLOOKUP(tActuals7[[#This Row],[Account]],A:A,B:B)</f>
        <v>COGS (NL)</v>
      </c>
      <c r="AC7" s="4" t="s">
        <v>225</v>
      </c>
      <c r="AD7" s="6">
        <v>137956123.78999999</v>
      </c>
      <c r="AE7" s="122">
        <v>1</v>
      </c>
    </row>
    <row r="8" spans="1:31" x14ac:dyDescent="0.25">
      <c r="A8" s="9">
        <v>2201201000</v>
      </c>
      <c r="B8" t="s">
        <v>43</v>
      </c>
      <c r="E8">
        <v>2024</v>
      </c>
      <c r="F8" s="9">
        <v>2201201000</v>
      </c>
      <c r="G8" s="10">
        <v>-11398.766246217199</v>
      </c>
      <c r="H8" s="10">
        <v>-8839.5312757342381</v>
      </c>
      <c r="I8" s="10">
        <v>-11413.751431754767</v>
      </c>
      <c r="J8" s="10">
        <v>-12483.943369729634</v>
      </c>
      <c r="K8" s="10">
        <v>-11682.298274725941</v>
      </c>
      <c r="L8" s="10">
        <v>-11405.38670121858</v>
      </c>
      <c r="M8" s="10">
        <v>-8858.3160090997208</v>
      </c>
      <c r="N8" s="10">
        <v>-6168.2206145791097</v>
      </c>
      <c r="O8" s="10">
        <v>-9898.6360629322153</v>
      </c>
      <c r="P8" s="10">
        <v>-11587.221695428991</v>
      </c>
      <c r="Q8" s="10">
        <v>-11659.33904019412</v>
      </c>
      <c r="R8" s="10">
        <v>-11282.471231553485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f>SUM(tActuals7[[#This Row],[January]:[June1]])</f>
        <v>-126677.88195316801</v>
      </c>
      <c r="Z8" s="10" t="str">
        <f>_xlfn.XLOOKUP(tActuals7[[#This Row],[Account]],A:A,B:B)</f>
        <v>COGS (Others)</v>
      </c>
    </row>
    <row r="9" spans="1:31" x14ac:dyDescent="0.25">
      <c r="A9" s="9">
        <v>2690200007</v>
      </c>
      <c r="B9" t="s">
        <v>29</v>
      </c>
      <c r="E9">
        <v>2024</v>
      </c>
      <c r="F9" s="9">
        <v>2690200007</v>
      </c>
      <c r="G9" s="10">
        <v>-317875.15393591078</v>
      </c>
      <c r="H9" s="10">
        <v>-409768.75901953521</v>
      </c>
      <c r="I9" s="10">
        <v>-568307.7391289206</v>
      </c>
      <c r="J9" s="10">
        <v>-511261.6976856743</v>
      </c>
      <c r="K9" s="10">
        <v>-467668.52780748886</v>
      </c>
      <c r="L9" s="10">
        <v>-381856.68402023375</v>
      </c>
      <c r="M9" s="10">
        <v>-285451.89651801134</v>
      </c>
      <c r="N9" s="10">
        <v>-344870.89313454035</v>
      </c>
      <c r="O9" s="10">
        <v>-596806.46392799029</v>
      </c>
      <c r="P9" s="10">
        <v>-546218.24839118612</v>
      </c>
      <c r="Q9" s="10">
        <v>-589848.29245393933</v>
      </c>
      <c r="R9" s="10">
        <v>-565735.57611375523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f>SUM(tActuals7[[#This Row],[January]:[June1]])</f>
        <v>-5585669.9321371857</v>
      </c>
      <c r="Z9" s="10" t="str">
        <f>_xlfn.XLOOKUP(tActuals7[[#This Row],[Account]],A:A,B:B)</f>
        <v>Payment (PayPal)</v>
      </c>
    </row>
    <row r="10" spans="1:31" x14ac:dyDescent="0.25">
      <c r="A10" s="9">
        <v>2690200010</v>
      </c>
      <c r="B10" t="s">
        <v>53</v>
      </c>
      <c r="E10">
        <v>2024</v>
      </c>
      <c r="F10" s="9">
        <v>2690200010</v>
      </c>
      <c r="G10" s="10">
        <v>-67059.167186793871</v>
      </c>
      <c r="H10" s="10">
        <v>-87119.241687380854</v>
      </c>
      <c r="I10" s="10">
        <v>-123829.24404732311</v>
      </c>
      <c r="J10" s="10">
        <v>-118127.48462381828</v>
      </c>
      <c r="K10" s="10">
        <v>-111368.19520867856</v>
      </c>
      <c r="L10" s="10">
        <v>-89145.294525000019</v>
      </c>
      <c r="M10" s="10">
        <v>-65228.702607886691</v>
      </c>
      <c r="N10" s="10">
        <v>-72627.05919597407</v>
      </c>
      <c r="O10" s="10">
        <v>-113058.288</v>
      </c>
      <c r="P10" s="10">
        <v>-120163.84583953067</v>
      </c>
      <c r="Q10" s="10">
        <v>-120876.87312739773</v>
      </c>
      <c r="R10" s="10">
        <v>-106978.35630500953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f>SUM(tActuals7[[#This Row],[January]:[June1]])</f>
        <v>-1195581.7523547935</v>
      </c>
      <c r="Z10" s="10" t="str">
        <f>_xlfn.XLOOKUP(tActuals7[[#This Row],[Account]],A:A,B:B)</f>
        <v>Payment (Credit Card)</v>
      </c>
    </row>
    <row r="11" spans="1:31" x14ac:dyDescent="0.25">
      <c r="A11" s="9">
        <v>2532300000</v>
      </c>
      <c r="B11" t="s">
        <v>26</v>
      </c>
      <c r="E11">
        <v>2024</v>
      </c>
      <c r="F11" s="9">
        <v>2532300000</v>
      </c>
      <c r="G11" s="10">
        <v>-1470207.5748717913</v>
      </c>
      <c r="H11" s="10">
        <v>-1932725.4307341292</v>
      </c>
      <c r="I11" s="10">
        <v>-2446516.2337589473</v>
      </c>
      <c r="J11" s="10">
        <v>-2307060.6568676503</v>
      </c>
      <c r="K11" s="10">
        <v>-2092614.7626787613</v>
      </c>
      <c r="L11" s="10">
        <v>-1618297.103107024</v>
      </c>
      <c r="M11" s="10">
        <v>-1227654.3623487127</v>
      </c>
      <c r="N11" s="10">
        <v>-1435278.968607926</v>
      </c>
      <c r="O11" s="10">
        <v>-2829668.0311388834</v>
      </c>
      <c r="P11" s="10">
        <v>-2625300.9409412681</v>
      </c>
      <c r="Q11" s="10">
        <v>-2833429.9650960444</v>
      </c>
      <c r="R11" s="10">
        <v>-2614443.6068102433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f>SUM(tActuals7[[#This Row],[January]:[June1]])</f>
        <v>-25433197.636961382</v>
      </c>
      <c r="Z11" s="10" t="str">
        <f>_xlfn.XLOOKUP(tActuals7[[#This Row],[Account]],A:A,B:B)</f>
        <v>Warehouse</v>
      </c>
    </row>
    <row r="12" spans="1:31" x14ac:dyDescent="0.25">
      <c r="A12" s="9">
        <v>2530200000</v>
      </c>
      <c r="B12" t="s">
        <v>52</v>
      </c>
      <c r="E12">
        <v>2024</v>
      </c>
      <c r="F12" s="9">
        <v>2530200000</v>
      </c>
      <c r="G12" s="10">
        <v>-2543367.9942725478</v>
      </c>
      <c r="H12" s="10">
        <v>-3367126.0614075279</v>
      </c>
      <c r="I12" s="10">
        <v>-4541273.1791659035</v>
      </c>
      <c r="J12" s="10">
        <v>-4159371.2398202647</v>
      </c>
      <c r="K12" s="10">
        <v>-3748647.2542714346</v>
      </c>
      <c r="L12" s="10">
        <v>-2917515.752655949</v>
      </c>
      <c r="M12" s="10">
        <v>-2140880.4458391913</v>
      </c>
      <c r="N12" s="10">
        <v>-2608054.5929596364</v>
      </c>
      <c r="O12" s="10">
        <v>-4996800.533738289</v>
      </c>
      <c r="P12" s="10">
        <v>-4648491.5434395829</v>
      </c>
      <c r="Q12" s="10">
        <v>-4971882.1149100009</v>
      </c>
      <c r="R12" s="10">
        <v>-4596069.2711621691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f>SUM(tActuals7[[#This Row],[January]:[June1]])</f>
        <v>-45239479.983642496</v>
      </c>
      <c r="Z12" s="10" t="str">
        <f>_xlfn.XLOOKUP(tActuals7[[#This Row],[Account]],A:A,B:B)</f>
        <v>Distribution (Different Carriers)</v>
      </c>
    </row>
    <row r="13" spans="1:31" x14ac:dyDescent="0.25">
      <c r="A13" s="9">
        <v>2530300000</v>
      </c>
      <c r="B13" t="s">
        <v>54</v>
      </c>
      <c r="E13">
        <v>2024</v>
      </c>
      <c r="F13" s="9">
        <v>2530300000</v>
      </c>
      <c r="G13" s="10">
        <v>-154319.04551857413</v>
      </c>
      <c r="H13" s="10">
        <v>-138813.11712647995</v>
      </c>
      <c r="I13" s="10">
        <v>-181299.37930454346</v>
      </c>
      <c r="J13" s="10">
        <v>-177292.37985036781</v>
      </c>
      <c r="K13" s="10">
        <v>-165542.04224487388</v>
      </c>
      <c r="L13" s="10">
        <v>-180245.45721077503</v>
      </c>
      <c r="M13" s="10">
        <v>-147634.98828176677</v>
      </c>
      <c r="N13" s="10">
        <v>-106385.89161922825</v>
      </c>
      <c r="O13" s="10">
        <v>-134150.11548120002</v>
      </c>
      <c r="P13" s="10">
        <v>-155344.32453843046</v>
      </c>
      <c r="Q13" s="10">
        <v>-184420.57522695707</v>
      </c>
      <c r="R13" s="10">
        <v>-175151.39560348619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f>SUM(tActuals7[[#This Row],[January]:[June1]])</f>
        <v>-1900598.7120066828</v>
      </c>
      <c r="Z13" s="10" t="str">
        <f>_xlfn.XLOOKUP(tActuals7[[#This Row],[Account]],A:A,B:B)</f>
        <v>Distribution (Package Material)</v>
      </c>
    </row>
    <row r="14" spans="1:31" x14ac:dyDescent="0.25">
      <c r="A14" s="9">
        <v>2400210100</v>
      </c>
      <c r="B14" t="s">
        <v>48</v>
      </c>
      <c r="E14">
        <v>2024</v>
      </c>
      <c r="F14" s="9">
        <v>2400210100</v>
      </c>
      <c r="G14" s="10">
        <v>-1523819.5431297973</v>
      </c>
      <c r="H14" s="10">
        <v>-1531111.157527446</v>
      </c>
      <c r="I14" s="10">
        <v>-1521637.4677494406</v>
      </c>
      <c r="J14" s="10">
        <v>-1512990.6429420649</v>
      </c>
      <c r="K14" s="10">
        <v>-1508750.0401583889</v>
      </c>
      <c r="L14" s="10">
        <v>-1508440.1684676786</v>
      </c>
      <c r="M14" s="10">
        <v>-1507887.838324459</v>
      </c>
      <c r="N14" s="10">
        <v>-1511575.2885234079</v>
      </c>
      <c r="O14" s="10">
        <v>-1540696.4491838852</v>
      </c>
      <c r="P14" s="10">
        <v>-1547838.7569218581</v>
      </c>
      <c r="Q14" s="10">
        <v>-1548569.43552806</v>
      </c>
      <c r="R14" s="10">
        <v>-1550788.6754879931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f>SUM(tActuals7[[#This Row],[January]:[June1]])</f>
        <v>-18314105.46394448</v>
      </c>
      <c r="Z14" s="10" t="str">
        <f>_xlfn.XLOOKUP(tActuals7[[#This Row],[Account]],A:A,B:B)</f>
        <v>Labour (Salaries)</v>
      </c>
    </row>
    <row r="15" spans="1:31" x14ac:dyDescent="0.25">
      <c r="A15" s="9">
        <v>2400210200</v>
      </c>
      <c r="B15" t="s">
        <v>30</v>
      </c>
      <c r="E15">
        <v>2024</v>
      </c>
      <c r="F15" s="9">
        <v>2400210200</v>
      </c>
      <c r="G15" s="10">
        <v>-407.01102750000007</v>
      </c>
      <c r="H15" s="10">
        <v>-429.9827298921</v>
      </c>
      <c r="I15" s="10">
        <v>-15309.256958587517</v>
      </c>
      <c r="J15" s="10">
        <v>-582.63859500000012</v>
      </c>
      <c r="K15" s="10">
        <v>-637.2573900000001</v>
      </c>
      <c r="L15" s="10">
        <v>-9051.0420000000013</v>
      </c>
      <c r="M15" s="10">
        <v>-379.34589</v>
      </c>
      <c r="N15" s="10">
        <v>-890.07291450000002</v>
      </c>
      <c r="O15" s="10">
        <v>-26666.753190000007</v>
      </c>
      <c r="P15" s="10">
        <v>-527.99439000000007</v>
      </c>
      <c r="Q15" s="10">
        <v>-441.87990000000008</v>
      </c>
      <c r="R15" s="10">
        <v>-89019.466333875011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f>SUM(tActuals7[[#This Row],[January]:[June1]])</f>
        <v>-144342.70131935464</v>
      </c>
      <c r="Z15" s="10" t="str">
        <f>_xlfn.XLOOKUP(tActuals7[[#This Row],[Account]],A:A,B:B)</f>
        <v>Labour (Bonuses)</v>
      </c>
    </row>
    <row r="16" spans="1:31" x14ac:dyDescent="0.25">
      <c r="A16" s="9">
        <v>2400210120</v>
      </c>
      <c r="B16" t="s">
        <v>31</v>
      </c>
      <c r="E16">
        <v>2024</v>
      </c>
      <c r="F16" s="9">
        <v>2400210120</v>
      </c>
      <c r="G16" s="10">
        <v>-30909.524543259562</v>
      </c>
      <c r="H16" s="10">
        <v>-31057.429415066876</v>
      </c>
      <c r="I16" s="10">
        <v>-30865.262797944328</v>
      </c>
      <c r="J16" s="10">
        <v>-30689.868510077478</v>
      </c>
      <c r="K16" s="10">
        <v>-30603.85109652533</v>
      </c>
      <c r="L16" s="10">
        <v>-30597.565584128239</v>
      </c>
      <c r="M16" s="10">
        <v>-30586.361985779065</v>
      </c>
      <c r="N16" s="10">
        <v>-30661.159118379408</v>
      </c>
      <c r="O16" s="10">
        <v>-31251.859791711402</v>
      </c>
      <c r="P16" s="10">
        <v>-31396.736091085371</v>
      </c>
      <c r="Q16" s="10">
        <v>-31411.557352837441</v>
      </c>
      <c r="R16" s="10">
        <v>-31456.572953482682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f>SUM(tActuals7[[#This Row],[January]:[June1]])</f>
        <v>-371487.74924027716</v>
      </c>
      <c r="Z16" s="10" t="str">
        <f>_xlfn.XLOOKUP(tActuals7[[#This Row],[Account]],A:A,B:B)</f>
        <v>Labour (Social Contributions)</v>
      </c>
    </row>
    <row r="17" spans="1:26" x14ac:dyDescent="0.25">
      <c r="A17" s="9">
        <v>2546100100</v>
      </c>
      <c r="B17" t="s">
        <v>32</v>
      </c>
      <c r="E17">
        <v>2024</v>
      </c>
      <c r="F17" s="9">
        <v>2546100100</v>
      </c>
      <c r="G17" s="10">
        <v>-358802.71282625006</v>
      </c>
      <c r="H17" s="10">
        <v>-376107.33455077809</v>
      </c>
      <c r="I17" s="10">
        <v>-445681.77704020828</v>
      </c>
      <c r="J17" s="10">
        <v>-475436.64132128179</v>
      </c>
      <c r="K17" s="10">
        <v>-384962.22418500006</v>
      </c>
      <c r="L17" s="10">
        <v>-366630.68970000005</v>
      </c>
      <c r="M17" s="10">
        <v>-268498.33129350003</v>
      </c>
      <c r="N17" s="10">
        <v>-227638.34806683435</v>
      </c>
      <c r="O17" s="10">
        <v>-413490.11320277973</v>
      </c>
      <c r="P17" s="10">
        <v>-381830.94645313761</v>
      </c>
      <c r="Q17" s="10">
        <v>-394643.55968815665</v>
      </c>
      <c r="R17" s="10">
        <v>-372706.14279112499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f>SUM(tActuals7[[#This Row],[January]:[June1]])</f>
        <v>-4466428.8211190514</v>
      </c>
      <c r="Z17" s="10" t="str">
        <f>_xlfn.XLOOKUP(tActuals7[[#This Row],[Account]],A:A,B:B)</f>
        <v>Marketing (Google)</v>
      </c>
    </row>
    <row r="18" spans="1:26" x14ac:dyDescent="0.25">
      <c r="A18" s="9">
        <v>2544601400</v>
      </c>
      <c r="B18" t="s">
        <v>33</v>
      </c>
      <c r="E18">
        <v>2024</v>
      </c>
      <c r="F18" s="9">
        <v>2544601400</v>
      </c>
      <c r="G18" s="10">
        <v>-109605.29643112503</v>
      </c>
      <c r="H18" s="10">
        <v>-118609.10477650013</v>
      </c>
      <c r="I18" s="10">
        <v>-123117.26695895618</v>
      </c>
      <c r="J18" s="10">
        <v>-116028.82883361628</v>
      </c>
      <c r="K18" s="10">
        <v>-97509.604500000016</v>
      </c>
      <c r="L18" s="10">
        <v>-92866.290000000023</v>
      </c>
      <c r="M18" s="10">
        <v>-84998.736900000018</v>
      </c>
      <c r="N18" s="10">
        <v>-96952.952550162518</v>
      </c>
      <c r="O18" s="10">
        <v>-156020.26752300485</v>
      </c>
      <c r="P18" s="10">
        <v>-168444.87350460002</v>
      </c>
      <c r="Q18" s="10">
        <v>-176087.59613760217</v>
      </c>
      <c r="R18" s="10">
        <v>-142666.17608650003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f>SUM(tActuals7[[#This Row],[January]:[June1]])</f>
        <v>-1482906.9942020674</v>
      </c>
      <c r="Z18" s="10" t="str">
        <f>_xlfn.XLOOKUP(tActuals7[[#This Row],[Account]],A:A,B:B)</f>
        <v>Marketing (Meta)</v>
      </c>
    </row>
    <row r="19" spans="1:26" x14ac:dyDescent="0.25">
      <c r="A19" s="9">
        <v>2544600140</v>
      </c>
      <c r="B19" t="s">
        <v>34</v>
      </c>
      <c r="E19">
        <v>2024</v>
      </c>
      <c r="F19" s="9">
        <v>2544600140</v>
      </c>
      <c r="G19" s="10">
        <v>-77705.212594625016</v>
      </c>
      <c r="H19" s="10">
        <v>-102457.95750548822</v>
      </c>
      <c r="I19" s="10">
        <v>-122105.30944693858</v>
      </c>
      <c r="J19" s="10">
        <v>-131622.64395240572</v>
      </c>
      <c r="K19" s="10">
        <v>-165518.77072500001</v>
      </c>
      <c r="L19" s="10">
        <v>-157636.92450000002</v>
      </c>
      <c r="M19" s="10">
        <v>-149852.46899700005</v>
      </c>
      <c r="N19" s="10">
        <v>-136552.84107616253</v>
      </c>
      <c r="O19" s="10">
        <v>-133810.25790000003</v>
      </c>
      <c r="P19" s="10">
        <v>-374669.91324551264</v>
      </c>
      <c r="Q19" s="10">
        <v>-263362.75371374527</v>
      </c>
      <c r="R19" s="10">
        <v>-108238.57164697502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f>SUM(tActuals7[[#This Row],[January]:[June1]])</f>
        <v>-1923533.6253038531</v>
      </c>
      <c r="Z19" s="10" t="str">
        <f>_xlfn.XLOOKUP(tActuals7[[#This Row],[Account]],A:A,B:B)</f>
        <v>Marketing (Flyers)</v>
      </c>
    </row>
    <row r="20" spans="1:26" x14ac:dyDescent="0.25">
      <c r="A20" s="9">
        <v>2544600120</v>
      </c>
      <c r="B20" t="s">
        <v>35</v>
      </c>
      <c r="E20">
        <v>2024</v>
      </c>
      <c r="F20" s="9">
        <v>2544600120</v>
      </c>
      <c r="G20" s="10">
        <v>-5524.3312451250022</v>
      </c>
      <c r="H20" s="10">
        <v>-9752.1445438394639</v>
      </c>
      <c r="I20" s="10">
        <v>-15468.533423580548</v>
      </c>
      <c r="J20" s="10">
        <v>-12906.135046685587</v>
      </c>
      <c r="K20" s="10">
        <v>-11954.921000000002</v>
      </c>
      <c r="L20" s="10">
        <v>-7698.0200000000013</v>
      </c>
      <c r="M20" s="10">
        <v>-6521.4226247500019</v>
      </c>
      <c r="N20" s="10">
        <v>-3642.6022710000002</v>
      </c>
      <c r="O20" s="10">
        <v>-16643.804933507563</v>
      </c>
      <c r="P20" s="10">
        <v>-21757.433195987502</v>
      </c>
      <c r="Q20" s="10">
        <v>-19240.915793935452</v>
      </c>
      <c r="R20" s="10">
        <v>-10923.126623750002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f>SUM(tActuals7[[#This Row],[January]:[June1]])</f>
        <v>-142033.39070216112</v>
      </c>
      <c r="Z20" s="10" t="str">
        <f>_xlfn.XLOOKUP(tActuals7[[#This Row],[Account]],A:A,B:B)</f>
        <v>Marketing (TV)</v>
      </c>
    </row>
    <row r="21" spans="1:26" x14ac:dyDescent="0.25">
      <c r="A21" s="9">
        <v>2544600170</v>
      </c>
      <c r="B21" t="s">
        <v>36</v>
      </c>
      <c r="E21">
        <v>2024</v>
      </c>
      <c r="F21" s="9">
        <v>2544600170</v>
      </c>
      <c r="G21" s="10">
        <v>-3866.8847250000008</v>
      </c>
      <c r="H21" s="10">
        <v>-4994.0684132232964</v>
      </c>
      <c r="I21" s="10">
        <v>-6241.18</v>
      </c>
      <c r="J21" s="10">
        <v>-10642.356769379154</v>
      </c>
      <c r="K21" s="10">
        <v>-11738.239645000001</v>
      </c>
      <c r="L21" s="10">
        <v>-10026.894900000003</v>
      </c>
      <c r="M21" s="10">
        <v>-4764.0300592500016</v>
      </c>
      <c r="N21" s="10">
        <v>-2764.8399657725004</v>
      </c>
      <c r="O21" s="10">
        <v>-25028.068353701921</v>
      </c>
      <c r="P21" s="10">
        <v>-27633.961081650003</v>
      </c>
      <c r="Q21" s="10">
        <v>-16961.501645555207</v>
      </c>
      <c r="R21" s="10">
        <v>-10536.490884562501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f>SUM(tActuals7[[#This Row],[January]:[June1]])</f>
        <v>-135198.51644309459</v>
      </c>
      <c r="Z21" s="10" t="str">
        <f>_xlfn.XLOOKUP(tActuals7[[#This Row],[Account]],A:A,B:B)</f>
        <v>Marketing (Print)</v>
      </c>
    </row>
    <row r="22" spans="1:26" x14ac:dyDescent="0.25">
      <c r="A22" s="9">
        <v>2561400000</v>
      </c>
      <c r="B22" t="s">
        <v>19</v>
      </c>
      <c r="E22">
        <v>2024</v>
      </c>
      <c r="F22" s="9">
        <v>2561400000</v>
      </c>
      <c r="G22" s="10">
        <v>-97865.595786750011</v>
      </c>
      <c r="H22" s="10">
        <v>-97865.595786750011</v>
      </c>
      <c r="I22" s="10">
        <v>-97605.446573250039</v>
      </c>
      <c r="J22" s="10">
        <v>-97605.446573250039</v>
      </c>
      <c r="K22" s="10">
        <v>-97605.446573250039</v>
      </c>
      <c r="L22" s="10">
        <v>-97610.712100000004</v>
      </c>
      <c r="M22" s="10">
        <v>-97793.228500000027</v>
      </c>
      <c r="N22" s="10">
        <v>-97961.04340000001</v>
      </c>
      <c r="O22" s="10">
        <v>-97755.343400000012</v>
      </c>
      <c r="P22" s="10">
        <v>-97755.343400000012</v>
      </c>
      <c r="Q22" s="10">
        <v>-97755.343400000012</v>
      </c>
      <c r="R22" s="10">
        <v>-97755.343400000012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f>SUM(tActuals7[[#This Row],[January]:[June1]])</f>
        <v>-1172933.8888932504</v>
      </c>
      <c r="Z22" s="10" t="str">
        <f>_xlfn.XLOOKUP(tActuals7[[#This Row],[Account]],A:A,B:B)</f>
        <v>Rent</v>
      </c>
    </row>
    <row r="23" spans="1:26" x14ac:dyDescent="0.25">
      <c r="A23" s="9">
        <v>2627300000</v>
      </c>
      <c r="B23" t="s">
        <v>49</v>
      </c>
      <c r="E23">
        <v>2024</v>
      </c>
      <c r="F23" s="9">
        <v>2627300000</v>
      </c>
      <c r="G23" s="10">
        <v>-11832.966279750002</v>
      </c>
      <c r="H23" s="10">
        <v>-10668.467240750004</v>
      </c>
      <c r="I23" s="10">
        <v>-18729.565800000004</v>
      </c>
      <c r="J23" s="10">
        <v>-13879.426000000003</v>
      </c>
      <c r="K23" s="10">
        <v>-6075.5310000000018</v>
      </c>
      <c r="L23" s="10">
        <v>-16220.158900000004</v>
      </c>
      <c r="M23" s="10">
        <v>-11514.541500000003</v>
      </c>
      <c r="N23" s="10">
        <v>-11156.684000000001</v>
      </c>
      <c r="O23" s="10">
        <v>-13266.536800000002</v>
      </c>
      <c r="P23" s="10">
        <v>-6528.4340000000011</v>
      </c>
      <c r="Q23" s="10">
        <v>-12028.489000000001</v>
      </c>
      <c r="R23" s="10">
        <v>-31238.467240750007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f>SUM(tActuals7[[#This Row],[January]:[June1]])</f>
        <v>-163139.26776125006</v>
      </c>
      <c r="Z23" s="10" t="str">
        <f>_xlfn.XLOOKUP(tActuals7[[#This Row],[Account]],A:A,B:B)</f>
        <v>Consulting (BCG, KPMG, etc.)</v>
      </c>
    </row>
    <row r="24" spans="1:26" x14ac:dyDescent="0.25">
      <c r="A24" s="9">
        <v>2627100000</v>
      </c>
      <c r="B24" t="s">
        <v>47</v>
      </c>
      <c r="E24">
        <v>2024</v>
      </c>
      <c r="F24" s="9">
        <v>2627100000</v>
      </c>
      <c r="G24" s="10">
        <v>-5825.3423401250011</v>
      </c>
      <c r="H24" s="10">
        <v>-1805.8392563750003</v>
      </c>
      <c r="I24" s="10">
        <v>-9079.840000000002</v>
      </c>
      <c r="J24" s="10">
        <v>-10433.467000000002</v>
      </c>
      <c r="K24" s="10">
        <v>-10286.197900000001</v>
      </c>
      <c r="L24" s="10">
        <v>-3214.2198000000008</v>
      </c>
      <c r="M24" s="10">
        <v>-4135.187100000001</v>
      </c>
      <c r="N24" s="10">
        <v>-2146.4432000000002</v>
      </c>
      <c r="O24" s="10">
        <v>-2135.0813000000003</v>
      </c>
      <c r="P24" s="10">
        <v>-11247.119400000001</v>
      </c>
      <c r="Q24" s="10">
        <v>-1803.5413000000003</v>
      </c>
      <c r="R24" s="10">
        <v>-2119.2666000000004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f>SUM(tActuals7[[#This Row],[January]:[June1]])</f>
        <v>-64231.54519650001</v>
      </c>
      <c r="Z24" s="10" t="str">
        <f>_xlfn.XLOOKUP(tActuals7[[#This Row],[Account]],A:A,B:B)</f>
        <v>Consulting (for different IT-Tools)</v>
      </c>
    </row>
    <row r="25" spans="1:26" x14ac:dyDescent="0.25">
      <c r="A25" s="9">
        <v>2601100200</v>
      </c>
      <c r="B25" t="s">
        <v>21</v>
      </c>
      <c r="E25">
        <v>2024</v>
      </c>
      <c r="F25" s="9">
        <v>2601100200</v>
      </c>
      <c r="G25" s="10">
        <v>-12827.642847250003</v>
      </c>
      <c r="H25" s="10">
        <v>-8990.7802792500006</v>
      </c>
      <c r="I25" s="10">
        <v>0</v>
      </c>
      <c r="J25" s="10">
        <v>-3847.8000000000006</v>
      </c>
      <c r="K25" s="10">
        <v>-7295.2231000000002</v>
      </c>
      <c r="L25" s="10">
        <v>-7630.3810000000012</v>
      </c>
      <c r="M25" s="10">
        <v>-10130.797600000002</v>
      </c>
      <c r="N25" s="10">
        <v>-1985.7673000000004</v>
      </c>
      <c r="O25" s="10">
        <v>0</v>
      </c>
      <c r="P25" s="10">
        <v>-10368.163300000002</v>
      </c>
      <c r="Q25" s="10">
        <v>-5253.4328000000014</v>
      </c>
      <c r="R25" s="10">
        <v>-6869.5330000000013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f>SUM(tActuals7[[#This Row],[January]:[June1]])</f>
        <v>-75199.521226500001</v>
      </c>
      <c r="Z25" s="10" t="str">
        <f>_xlfn.XLOOKUP(tActuals7[[#This Row],[Account]],A:A,B:B)</f>
        <v>Travel</v>
      </c>
    </row>
    <row r="26" spans="1:26" x14ac:dyDescent="0.25">
      <c r="A26" s="9">
        <v>2633100000</v>
      </c>
      <c r="B26" t="s">
        <v>44</v>
      </c>
      <c r="E26">
        <v>2024</v>
      </c>
      <c r="F26" s="9">
        <v>2633100000</v>
      </c>
      <c r="G26" s="10">
        <v>-71770.089737500006</v>
      </c>
      <c r="H26" s="10">
        <v>-13956.64980325</v>
      </c>
      <c r="I26" s="10">
        <v>0</v>
      </c>
      <c r="J26" s="10">
        <v>0</v>
      </c>
      <c r="K26" s="10">
        <v>0</v>
      </c>
      <c r="L26" s="10">
        <v>-33073.329300000005</v>
      </c>
      <c r="M26" s="10">
        <v>-8268.3293000000012</v>
      </c>
      <c r="N26" s="10">
        <v>-8268.3293000000012</v>
      </c>
      <c r="O26" s="10">
        <v>-8268.3293000000012</v>
      </c>
      <c r="P26" s="10">
        <v>-8268.3293000000012</v>
      </c>
      <c r="Q26" s="10">
        <v>-8268.3293000000012</v>
      </c>
      <c r="R26" s="10">
        <v>-8268.3293000000012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f>SUM(tActuals7[[#This Row],[January]:[June1]])</f>
        <v>-168410.04464075004</v>
      </c>
      <c r="Z26" s="10" t="str">
        <f>_xlfn.XLOOKUP(tActuals7[[#This Row],[Account]],A:A,B:B)</f>
        <v>Insurance (Cyber Security)</v>
      </c>
    </row>
    <row r="27" spans="1:26" x14ac:dyDescent="0.25">
      <c r="A27" s="9">
        <v>2633600000</v>
      </c>
      <c r="B27" t="s">
        <v>45</v>
      </c>
      <c r="E27">
        <v>2024</v>
      </c>
      <c r="F27" s="9">
        <v>2633600000</v>
      </c>
      <c r="G27" s="10">
        <v>-26991.973556625006</v>
      </c>
      <c r="H27" s="10">
        <v>-28304.255113750001</v>
      </c>
      <c r="I27" s="10">
        <v>-27343.580000000005</v>
      </c>
      <c r="J27" s="10">
        <v>-24900.348000000002</v>
      </c>
      <c r="K27" s="10">
        <v>-26122.569000000007</v>
      </c>
      <c r="L27" s="10">
        <v>-27268.221200000007</v>
      </c>
      <c r="M27" s="10">
        <v>-31253.670800000007</v>
      </c>
      <c r="N27" s="10">
        <v>-29210.198600000003</v>
      </c>
      <c r="O27" s="10">
        <v>-26770.209400000003</v>
      </c>
      <c r="P27" s="10">
        <v>-28728.921100000003</v>
      </c>
      <c r="Q27" s="10">
        <v>-30726.582700000003</v>
      </c>
      <c r="R27" s="10">
        <v>-30158.354600000002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f>SUM(tActuals7[[#This Row],[January]:[June1]])</f>
        <v>-337778.88407037506</v>
      </c>
      <c r="Z27" s="10" t="str">
        <f>_xlfn.XLOOKUP(tActuals7[[#This Row],[Account]],A:A,B:B)</f>
        <v>Insurance (Legal Protection)</v>
      </c>
    </row>
    <row r="28" spans="1:26" x14ac:dyDescent="0.25">
      <c r="A28" s="9">
        <v>2616100000</v>
      </c>
      <c r="B28" t="s">
        <v>46</v>
      </c>
      <c r="E28">
        <v>2024</v>
      </c>
      <c r="F28" s="9">
        <v>2616100000</v>
      </c>
      <c r="G28" s="10">
        <v>0</v>
      </c>
      <c r="H28" s="10">
        <v>0</v>
      </c>
      <c r="I28" s="10">
        <v>-36964.048000000003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f>SUM(tActuals7[[#This Row],[January]:[June1]])</f>
        <v>-36964.048000000003</v>
      </c>
      <c r="Z28" s="10" t="str">
        <f>_xlfn.XLOOKUP(tActuals7[[#This Row],[Account]],A:A,B:B)</f>
        <v>Insurance (Others)</v>
      </c>
    </row>
    <row r="29" spans="1:26" x14ac:dyDescent="0.25">
      <c r="E29">
        <v>2025</v>
      </c>
      <c r="F29" s="9">
        <v>2003100005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15587141.759999998</v>
      </c>
      <c r="T29" s="10">
        <v>21550395.090000004</v>
      </c>
      <c r="U29" s="10">
        <v>25921509.449999996</v>
      </c>
      <c r="V29" s="10">
        <v>19150184.419999998</v>
      </c>
      <c r="W29" s="10">
        <v>20358143.84</v>
      </c>
      <c r="X29" s="10">
        <v>18521907.539999999</v>
      </c>
      <c r="Y29" s="10">
        <f>SUM(tActuals7[[#This Row],[January]:[June1]])</f>
        <v>121089282.09999999</v>
      </c>
      <c r="Z29" s="10" t="str">
        <f>_xlfn.XLOOKUP(tActuals7[[#This Row],[Account]],A:A,B:B)</f>
        <v>Revenue (DE)</v>
      </c>
    </row>
    <row r="30" spans="1:26" x14ac:dyDescent="0.25">
      <c r="E30">
        <v>2025</v>
      </c>
      <c r="F30" s="9">
        <v>2003100006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1162130.4500000002</v>
      </c>
      <c r="T30" s="10">
        <v>1375683.25</v>
      </c>
      <c r="U30" s="10">
        <v>1741665.93</v>
      </c>
      <c r="V30" s="10">
        <v>1276638.8700000001</v>
      </c>
      <c r="W30" s="10">
        <v>1297552.5299999998</v>
      </c>
      <c r="X30" s="10">
        <v>1173863.2000000002</v>
      </c>
      <c r="Y30" s="10">
        <f>SUM(tActuals7[[#This Row],[January]:[June1]])</f>
        <v>8027534.2299999995</v>
      </c>
      <c r="Z30" s="10" t="str">
        <f>_xlfn.XLOOKUP(tActuals7[[#This Row],[Account]],A:A,B:B)</f>
        <v>Revenue (PL)</v>
      </c>
    </row>
    <row r="31" spans="1:26" x14ac:dyDescent="0.25">
      <c r="E31">
        <v>2025</v>
      </c>
      <c r="F31" s="9">
        <v>2003100007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1520904.79</v>
      </c>
      <c r="T31" s="10">
        <v>1165766.1599999999</v>
      </c>
      <c r="U31" s="10">
        <v>1397252.56</v>
      </c>
      <c r="V31" s="10">
        <v>1562865.42</v>
      </c>
      <c r="W31" s="10">
        <v>1748359.82</v>
      </c>
      <c r="X31" s="10">
        <v>1444158.71</v>
      </c>
      <c r="Y31" s="10">
        <f>SUM(tActuals7[[#This Row],[January]:[June1]])</f>
        <v>8839307.4600000009</v>
      </c>
      <c r="Z31" s="10" t="str">
        <f>_xlfn.XLOOKUP(tActuals7[[#This Row],[Account]],A:A,B:B)</f>
        <v>Revenue (NL)</v>
      </c>
    </row>
    <row r="32" spans="1:26" x14ac:dyDescent="0.25">
      <c r="E32">
        <v>2025</v>
      </c>
      <c r="F32" s="9">
        <v>2211200001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-9511517.2004292104</v>
      </c>
      <c r="T32" s="10">
        <v>-13135651.094679004</v>
      </c>
      <c r="U32" s="10">
        <v>-15677777.382166883</v>
      </c>
      <c r="V32" s="10">
        <v>-11529761.10350487</v>
      </c>
      <c r="W32" s="10">
        <v>-12207980.403199045</v>
      </c>
      <c r="X32" s="10">
        <v>-11216653.512991706</v>
      </c>
      <c r="Y32" s="10">
        <f>SUM(tActuals7[[#This Row],[January]:[June1]])</f>
        <v>-73279340.696970731</v>
      </c>
      <c r="Z32" s="10" t="str">
        <f>_xlfn.XLOOKUP(tActuals7[[#This Row],[Account]],A:A,B:B)</f>
        <v>COGS (DE)</v>
      </c>
    </row>
    <row r="33" spans="5:26" x14ac:dyDescent="0.25">
      <c r="E33">
        <v>2025</v>
      </c>
      <c r="F33" s="9">
        <v>2211200002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-729894.78932666406</v>
      </c>
      <c r="T33" s="10">
        <v>-860147.62850186089</v>
      </c>
      <c r="U33" s="10">
        <v>-1085322.4078376205</v>
      </c>
      <c r="V33" s="10">
        <v>-790838.16351295868</v>
      </c>
      <c r="W33" s="10">
        <v>-806592.5920911869</v>
      </c>
      <c r="X33" s="10">
        <v>-734792.92918374401</v>
      </c>
      <c r="Y33" s="10">
        <f>SUM(tActuals7[[#This Row],[January]:[June1]])</f>
        <v>-5007588.5104540344</v>
      </c>
      <c r="Z33" s="10" t="str">
        <f>_xlfn.XLOOKUP(tActuals7[[#This Row],[Account]],A:A,B:B)</f>
        <v>COGS (PL)</v>
      </c>
    </row>
    <row r="34" spans="5:26" x14ac:dyDescent="0.25">
      <c r="E34">
        <v>2025</v>
      </c>
      <c r="F34" s="9">
        <v>2211200003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-927464.07947095949</v>
      </c>
      <c r="T34" s="10">
        <v>-705415.86234208697</v>
      </c>
      <c r="U34" s="10">
        <v>-844968.03555313603</v>
      </c>
      <c r="V34" s="10">
        <v>-951185.12176403822</v>
      </c>
      <c r="W34" s="10">
        <v>-1063118.2467180912</v>
      </c>
      <c r="X34" s="10">
        <v>-883462.24840680009</v>
      </c>
      <c r="Y34" s="10">
        <f>SUM(tActuals7[[#This Row],[January]:[June1]])</f>
        <v>-5375613.5942551121</v>
      </c>
      <c r="Z34" s="10" t="str">
        <f>_xlfn.XLOOKUP(tActuals7[[#This Row],[Account]],A:A,B:B)</f>
        <v>COGS (NL)</v>
      </c>
    </row>
    <row r="35" spans="5:26" x14ac:dyDescent="0.25">
      <c r="E35">
        <v>2025</v>
      </c>
      <c r="F35" s="9">
        <v>2201201000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-11611.850274976412</v>
      </c>
      <c r="T35" s="10">
        <v>-8922.8193539330478</v>
      </c>
      <c r="U35" s="10">
        <v>-10794.897760331902</v>
      </c>
      <c r="V35" s="10">
        <v>-12371.126846267103</v>
      </c>
      <c r="W35" s="10">
        <v>-13693.74107909236</v>
      </c>
      <c r="X35" s="10">
        <v>-11170.573158653138</v>
      </c>
      <c r="Y35" s="10">
        <f>SUM(tActuals7[[#This Row],[January]:[June1]])</f>
        <v>-68565.008473253954</v>
      </c>
      <c r="Z35" s="10" t="str">
        <f>_xlfn.XLOOKUP(tActuals7[[#This Row],[Account]],A:A,B:B)</f>
        <v>COGS (Others)</v>
      </c>
    </row>
    <row r="36" spans="5:26" x14ac:dyDescent="0.25">
      <c r="E36">
        <v>2025</v>
      </c>
      <c r="F36" s="9">
        <v>2690200007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-329966.84307302831</v>
      </c>
      <c r="T36" s="10">
        <v>-444477.28743122064</v>
      </c>
      <c r="U36" s="10">
        <v>-530386.95979647711</v>
      </c>
      <c r="V36" s="10">
        <v>-380806.02657311741</v>
      </c>
      <c r="W36" s="10">
        <v>-409564.1491219647</v>
      </c>
      <c r="X36" s="10">
        <v>-367756.22248826141</v>
      </c>
      <c r="Y36" s="10">
        <f>SUM(tActuals7[[#This Row],[January]:[June1]])</f>
        <v>-2462957.4884840692</v>
      </c>
      <c r="Z36" s="10" t="str">
        <f>_xlfn.XLOOKUP(tActuals7[[#This Row],[Account]],A:A,B:B)</f>
        <v>Payment (PayPal)</v>
      </c>
    </row>
    <row r="37" spans="5:26" x14ac:dyDescent="0.25">
      <c r="E37">
        <v>2025</v>
      </c>
      <c r="F37" s="9">
        <v>2690200010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-74250.497054608073</v>
      </c>
      <c r="T37" s="10">
        <v>-90525.201571920741</v>
      </c>
      <c r="U37" s="10">
        <v>-120810.01492454309</v>
      </c>
      <c r="V37" s="10">
        <v>-111996.59830255566</v>
      </c>
      <c r="W37" s="10">
        <v>-114779.62223885756</v>
      </c>
      <c r="X37" s="10">
        <v>-104151.2659339878</v>
      </c>
      <c r="Y37" s="10">
        <f>SUM(tActuals7[[#This Row],[January]:[June1]])</f>
        <v>-616513.20002647303</v>
      </c>
      <c r="Z37" s="10" t="str">
        <f>_xlfn.XLOOKUP(tActuals7[[#This Row],[Account]],A:A,B:B)</f>
        <v>Payment (Credit Card)</v>
      </c>
    </row>
    <row r="38" spans="5:26" x14ac:dyDescent="0.25">
      <c r="E38">
        <v>2025</v>
      </c>
      <c r="F38" s="9">
        <v>2532300000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-1830023.9135537171</v>
      </c>
      <c r="T38" s="10">
        <v>-2405737.6774740806</v>
      </c>
      <c r="U38" s="10">
        <v>-2768479.8280276647</v>
      </c>
      <c r="V38" s="10">
        <v>-2084666.5777848272</v>
      </c>
      <c r="W38" s="10">
        <v>-2202174.6291354145</v>
      </c>
      <c r="X38" s="10">
        <v>-1982751.8174181338</v>
      </c>
      <c r="Y38" s="10">
        <f>SUM(tActuals7[[#This Row],[January]:[June1]])</f>
        <v>-13273834.44339384</v>
      </c>
      <c r="Z38" s="10" t="str">
        <f>_xlfn.XLOOKUP(tActuals7[[#This Row],[Account]],A:A,B:B)</f>
        <v>Warehouse</v>
      </c>
    </row>
    <row r="39" spans="5:26" x14ac:dyDescent="0.25">
      <c r="E39">
        <v>2025</v>
      </c>
      <c r="F39" s="9">
        <v>2530200000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-2778072.4982260326</v>
      </c>
      <c r="T39" s="10">
        <v>-3677847.7712706476</v>
      </c>
      <c r="U39" s="10">
        <v>-4284234.8750721337</v>
      </c>
      <c r="V39" s="10">
        <v>-3178369.075623937</v>
      </c>
      <c r="W39" s="10">
        <v>-3385070.5480162837</v>
      </c>
      <c r="X39" s="10">
        <v>-3050680.7288258751</v>
      </c>
      <c r="Y39" s="10">
        <f>SUM(tActuals7[[#This Row],[January]:[June1]])</f>
        <v>-20354275.497034907</v>
      </c>
      <c r="Z39" s="10" t="str">
        <f>_xlfn.XLOOKUP(tActuals7[[#This Row],[Account]],A:A,B:B)</f>
        <v>Distribution (Different Carriers)</v>
      </c>
    </row>
    <row r="40" spans="5:26" x14ac:dyDescent="0.25">
      <c r="E40">
        <v>2025</v>
      </c>
      <c r="F40" s="9">
        <v>2530300000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-156074.8880086717</v>
      </c>
      <c r="T40" s="10">
        <v>-140392.53312412635</v>
      </c>
      <c r="U40" s="10">
        <v>-180733.35611055975</v>
      </c>
      <c r="V40" s="10">
        <v>-163355.03418914252</v>
      </c>
      <c r="W40" s="10">
        <v>-185825.34447021439</v>
      </c>
      <c r="X40" s="10">
        <v>-148540.53177824614</v>
      </c>
      <c r="Y40" s="10">
        <f>SUM(tActuals7[[#This Row],[January]:[June1]])</f>
        <v>-974921.68768096087</v>
      </c>
      <c r="Z40" s="10" t="str">
        <f>_xlfn.XLOOKUP(tActuals7[[#This Row],[Account]],A:A,B:B)</f>
        <v>Distribution (Package Material)</v>
      </c>
    </row>
    <row r="41" spans="5:26" x14ac:dyDescent="0.25">
      <c r="E41">
        <v>2025</v>
      </c>
      <c r="F41" s="9">
        <v>2400210100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-1542025.3909785931</v>
      </c>
      <c r="T41" s="10">
        <v>-1561231.0370585187</v>
      </c>
      <c r="U41" s="10">
        <v>-1543421.3917061251</v>
      </c>
      <c r="V41" s="10">
        <v>-1559364.2245044285</v>
      </c>
      <c r="W41" s="10">
        <v>-1549069.9559610896</v>
      </c>
      <c r="X41" s="10">
        <v>-1552312.410868014</v>
      </c>
      <c r="Y41" s="10">
        <f>SUM(tActuals7[[#This Row],[January]:[June1]])</f>
        <v>-9307424.4110767674</v>
      </c>
      <c r="Z41" s="10" t="str">
        <f>_xlfn.XLOOKUP(tActuals7[[#This Row],[Account]],A:A,B:B)</f>
        <v>Labour (Salaries)</v>
      </c>
    </row>
    <row r="42" spans="5:26" x14ac:dyDescent="0.25">
      <c r="E42">
        <v>2025</v>
      </c>
      <c r="F42" s="9">
        <v>2400210200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-415.55055742033682</v>
      </c>
      <c r="T42" s="10">
        <v>-434.61418857232928</v>
      </c>
      <c r="U42" s="10">
        <v>-20457.160535096336</v>
      </c>
      <c r="V42" s="10">
        <v>-769.53963193034656</v>
      </c>
      <c r="W42" s="10">
        <v>-580.92697704545765</v>
      </c>
      <c r="X42" s="10">
        <v>-8439.6192744227756</v>
      </c>
      <c r="Y42" s="10">
        <f>SUM(tActuals7[[#This Row],[January]:[June1]])</f>
        <v>-31097.411164487581</v>
      </c>
      <c r="Z42" s="10" t="str">
        <f>_xlfn.XLOOKUP(tActuals7[[#This Row],[Account]],A:A,B:B)</f>
        <v>Labour (Bonuses)</v>
      </c>
    </row>
    <row r="43" spans="5:26" x14ac:dyDescent="0.25">
      <c r="E43">
        <v>2025</v>
      </c>
      <c r="F43" s="9">
        <v>2400210120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-31278.816368824017</v>
      </c>
      <c r="T43" s="10">
        <v>-31668.388343768856</v>
      </c>
      <c r="U43" s="10">
        <v>-31307.133185565603</v>
      </c>
      <c r="V43" s="10">
        <v>-31630.52146594958</v>
      </c>
      <c r="W43" s="10">
        <v>-31421.710030481503</v>
      </c>
      <c r="X43" s="10">
        <v>-31487.480770841059</v>
      </c>
      <c r="Y43" s="10">
        <f>SUM(tActuals7[[#This Row],[January]:[June1]])</f>
        <v>-188794.05016543061</v>
      </c>
      <c r="Z43" s="10" t="str">
        <f>_xlfn.XLOOKUP(tActuals7[[#This Row],[Account]],A:A,B:B)</f>
        <v>Labour (Social Contributions)</v>
      </c>
    </row>
    <row r="44" spans="5:26" x14ac:dyDescent="0.25">
      <c r="E44">
        <v>2025</v>
      </c>
      <c r="F44" s="9">
        <v>2546100100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-359256.31929000001</v>
      </c>
      <c r="T44" s="10">
        <v>-369330.92676575581</v>
      </c>
      <c r="U44" s="10">
        <v>-425180.18966605875</v>
      </c>
      <c r="V44" s="10">
        <v>-358492.33783221879</v>
      </c>
      <c r="W44" s="10">
        <v>-303859.33126635099</v>
      </c>
      <c r="X44" s="10">
        <v>-286833.30015779997</v>
      </c>
      <c r="Y44" s="10">
        <f>SUM(tActuals7[[#This Row],[January]:[June1]])</f>
        <v>-2102952.4049781845</v>
      </c>
      <c r="Z44" s="10" t="str">
        <f>_xlfn.XLOOKUP(tActuals7[[#This Row],[Account]],A:A,B:B)</f>
        <v>Marketing (Google)</v>
      </c>
    </row>
    <row r="45" spans="5:26" x14ac:dyDescent="0.25">
      <c r="E45">
        <v>2025</v>
      </c>
      <c r="F45" s="9">
        <v>2544601400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-120743.03726100002</v>
      </c>
      <c r="T45" s="10">
        <v>-128562.52376125654</v>
      </c>
      <c r="U45" s="10">
        <v>-132254.70154772289</v>
      </c>
      <c r="V45" s="10">
        <v>-131225.52788252197</v>
      </c>
      <c r="W45" s="10">
        <v>-113819.14772511229</v>
      </c>
      <c r="X45" s="10">
        <v>-108185.12812800003</v>
      </c>
      <c r="Y45" s="10">
        <f>SUM(tActuals7[[#This Row],[January]:[June1]])</f>
        <v>-734790.06630561373</v>
      </c>
      <c r="Z45" s="10" t="str">
        <f>_xlfn.XLOOKUP(tActuals7[[#This Row],[Account]],A:A,B:B)</f>
        <v>Marketing (Meta)</v>
      </c>
    </row>
    <row r="46" spans="5:26" x14ac:dyDescent="0.25">
      <c r="E46">
        <v>2025</v>
      </c>
      <c r="F46" s="9">
        <v>2544600140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-77803.449273000006</v>
      </c>
      <c r="T46" s="10">
        <v>-90917.016300000018</v>
      </c>
      <c r="U46" s="10">
        <v>-108164.70699812661</v>
      </c>
      <c r="V46" s="10">
        <v>-142914.88007725426</v>
      </c>
      <c r="W46" s="10">
        <v>-133451.56798714478</v>
      </c>
      <c r="X46" s="10">
        <v>-144759.45764610005</v>
      </c>
      <c r="Y46" s="10">
        <f>SUM(tActuals7[[#This Row],[January]:[June1]])</f>
        <v>-698011.07828162576</v>
      </c>
      <c r="Z46" s="10" t="str">
        <f>_xlfn.XLOOKUP(tActuals7[[#This Row],[Account]],A:A,B:B)</f>
        <v>Marketing (Flyers)</v>
      </c>
    </row>
    <row r="47" spans="5:26" x14ac:dyDescent="0.25">
      <c r="E47">
        <v>2025</v>
      </c>
      <c r="F47" s="9">
        <v>2544600120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-12718.715229000001</v>
      </c>
      <c r="T47" s="10">
        <v>-13651.578459708369</v>
      </c>
      <c r="U47" s="10">
        <v>-16336.879192012504</v>
      </c>
      <c r="V47" s="10">
        <v>-15475.386891739785</v>
      </c>
      <c r="W47" s="10">
        <v>-11421.3553828605</v>
      </c>
      <c r="X47" s="10">
        <v>-12351.666690000002</v>
      </c>
      <c r="Y47" s="10">
        <f>SUM(tActuals7[[#This Row],[January]:[June1]])</f>
        <v>-81955.581845321154</v>
      </c>
      <c r="Z47" s="10" t="str">
        <f>_xlfn.XLOOKUP(tActuals7[[#This Row],[Account]],A:A,B:B)</f>
        <v>Marketing (TV)</v>
      </c>
    </row>
    <row r="48" spans="5:26" x14ac:dyDescent="0.25">
      <c r="E48">
        <v>2025</v>
      </c>
      <c r="F48" s="9">
        <v>2544600170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-2632.9842000000003</v>
      </c>
      <c r="T48" s="10">
        <v>-2560.9757513725699</v>
      </c>
      <c r="U48" s="10">
        <v>-2620.5616775250001</v>
      </c>
      <c r="V48" s="10">
        <v>-3759.3345729041562</v>
      </c>
      <c r="W48" s="10">
        <v>-3757.0973813010005</v>
      </c>
      <c r="X48" s="10">
        <v>-3807.1657800000003</v>
      </c>
      <c r="Y48" s="10">
        <f>SUM(tActuals7[[#This Row],[January]:[June1]])</f>
        <v>-19138.119363102727</v>
      </c>
      <c r="Z48" s="10" t="str">
        <f>_xlfn.XLOOKUP(tActuals7[[#This Row],[Account]],A:A,B:B)</f>
        <v>Marketing (Print)</v>
      </c>
    </row>
    <row r="49" spans="5:26" x14ac:dyDescent="0.25">
      <c r="E49">
        <v>2025</v>
      </c>
      <c r="F49" s="9">
        <v>2561400000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-96777.789966000011</v>
      </c>
      <c r="T49" s="10">
        <v>-96777.789966000011</v>
      </c>
      <c r="U49" s="10">
        <v>-96777.789966000011</v>
      </c>
      <c r="V49" s="10">
        <v>-96777.789966000011</v>
      </c>
      <c r="W49" s="10">
        <v>-96777.789966000011</v>
      </c>
      <c r="X49" s="10">
        <v>-96777.789966000011</v>
      </c>
      <c r="Y49" s="10">
        <f>SUM(tActuals7[[#This Row],[January]:[June1]])</f>
        <v>-580666.73979600007</v>
      </c>
      <c r="Z49" s="10" t="str">
        <f>_xlfn.XLOOKUP(tActuals7[[#This Row],[Account]],A:A,B:B)</f>
        <v>Rent</v>
      </c>
    </row>
    <row r="50" spans="5:26" x14ac:dyDescent="0.25">
      <c r="E50">
        <v>2025</v>
      </c>
      <c r="F50" s="9">
        <v>2627300000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-11847.925782000002</v>
      </c>
      <c r="T50" s="10">
        <v>-8517.8596140000009</v>
      </c>
      <c r="U50" s="10">
        <v>-2207.6099100000006</v>
      </c>
      <c r="V50" s="10">
        <v>-7067.7178110000013</v>
      </c>
      <c r="W50" s="10">
        <v>-12834.947466000003</v>
      </c>
      <c r="X50" s="10">
        <v>-22129.992621000005</v>
      </c>
      <c r="Y50" s="10">
        <f>SUM(tActuals7[[#This Row],[January]:[June1]])</f>
        <v>-64606.053204000011</v>
      </c>
      <c r="Z50" s="10" t="str">
        <f>_xlfn.XLOOKUP(tActuals7[[#This Row],[Account]],A:A,B:B)</f>
        <v>Consulting (BCG, KPMG, etc.)</v>
      </c>
    </row>
    <row r="51" spans="5:26" x14ac:dyDescent="0.25">
      <c r="E51">
        <v>2025</v>
      </c>
      <c r="F51" s="9">
        <v>2627100000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-5832.7068690000006</v>
      </c>
      <c r="T51" s="10">
        <v>-1808.1222390000003</v>
      </c>
      <c r="U51" s="10">
        <v>-7327.0032660000015</v>
      </c>
      <c r="V51" s="10">
        <v>-7621.5548970000018</v>
      </c>
      <c r="W51" s="10">
        <v>-2082.0939480000002</v>
      </c>
      <c r="X51" s="10">
        <v>-2059.214058</v>
      </c>
      <c r="Y51" s="10">
        <f>SUM(tActuals7[[#This Row],[January]:[June1]])</f>
        <v>-26730.695277000006</v>
      </c>
      <c r="Z51" s="10" t="str">
        <f>_xlfn.XLOOKUP(tActuals7[[#This Row],[Account]],A:A,B:B)</f>
        <v>Consulting (for different IT-Tools)</v>
      </c>
    </row>
    <row r="52" spans="5:26" x14ac:dyDescent="0.25">
      <c r="E52">
        <v>2025</v>
      </c>
      <c r="F52" s="9">
        <v>2601100200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-12843.859842000002</v>
      </c>
      <c r="T52" s="10">
        <v>-9002.1466260000016</v>
      </c>
      <c r="U52" s="10">
        <v>-674.07030900000018</v>
      </c>
      <c r="V52" s="10">
        <v>-782.94744000000003</v>
      </c>
      <c r="W52" s="10">
        <v>-1103.4935010000002</v>
      </c>
      <c r="X52" s="10">
        <v>-4852.5611310000004</v>
      </c>
      <c r="Y52" s="10">
        <f>SUM(tActuals7[[#This Row],[January]:[June1]])</f>
        <v>-29259.078849000005</v>
      </c>
      <c r="Z52" s="10" t="str">
        <f>_xlfn.XLOOKUP(tActuals7[[#This Row],[Account]],A:A,B:B)</f>
        <v>Travel</v>
      </c>
    </row>
    <row r="53" spans="5:26" x14ac:dyDescent="0.25">
      <c r="E53">
        <v>2025</v>
      </c>
      <c r="F53" s="9">
        <v>2633100000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-71860.823100000009</v>
      </c>
      <c r="T53" s="10">
        <v>-13974.294114</v>
      </c>
      <c r="U53" s="10">
        <v>-9383.5460070000008</v>
      </c>
      <c r="V53" s="10">
        <v>-10880.322057000001</v>
      </c>
      <c r="W53" s="10">
        <v>-10131.934032000001</v>
      </c>
      <c r="X53" s="10">
        <v>-10131.934032000001</v>
      </c>
      <c r="Y53" s="10">
        <f>SUM(tActuals7[[#This Row],[January]:[June1]])</f>
        <v>-126362.85334200002</v>
      </c>
      <c r="Z53" s="10" t="str">
        <f>_xlfn.XLOOKUP(tActuals7[[#This Row],[Account]],A:A,B:B)</f>
        <v>Insurance (Cyber Security)</v>
      </c>
    </row>
    <row r="54" spans="5:26" x14ac:dyDescent="0.25">
      <c r="E54">
        <v>2025</v>
      </c>
      <c r="F54" s="9">
        <v>2633600000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-27026.097417000004</v>
      </c>
      <c r="T54" s="10">
        <v>-28340.037990000004</v>
      </c>
      <c r="U54" s="10">
        <v>-28256.017284000001</v>
      </c>
      <c r="V54" s="10">
        <v>-25741.912680000005</v>
      </c>
      <c r="W54" s="10">
        <v>-24393.041343000004</v>
      </c>
      <c r="X54" s="10">
        <v>-25141.213746000005</v>
      </c>
      <c r="Y54" s="10">
        <f>SUM(tActuals7[[#This Row],[January]:[June1]])</f>
        <v>-158898.32046000002</v>
      </c>
      <c r="Z54" s="10" t="str">
        <f>_xlfn.XLOOKUP(tActuals7[[#This Row],[Account]],A:A,B:B)</f>
        <v>Insurance (Legal Protection)</v>
      </c>
    </row>
    <row r="55" spans="5:26" x14ac:dyDescent="0.25">
      <c r="E55">
        <v>2025</v>
      </c>
      <c r="F55" s="9">
        <v>2616100000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-38153.678013000012</v>
      </c>
      <c r="V55" s="10">
        <v>0</v>
      </c>
      <c r="W55" s="10">
        <v>0</v>
      </c>
      <c r="X55" s="10">
        <v>0</v>
      </c>
      <c r="Y55" s="10">
        <f>SUM(tActuals7[[#This Row],[January]:[June1]])</f>
        <v>-38153.678013000012</v>
      </c>
      <c r="Z55" s="10" t="str">
        <f>_xlfn.XLOOKUP(tActuals7[[#This Row],[Account]],A:A,B:B)</f>
        <v>Insurance (Others)</v>
      </c>
    </row>
  </sheetData>
  <phoneticPr fontId="7" type="noConversion"/>
  <pageMargins left="0.7" right="0.7" top="0.75" bottom="0.75" header="0.3" footer="0.3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E31E-BE9C-4E1A-A015-B91B39EFA2CD}">
  <sheetPr>
    <tabColor rgb="FFFFC000"/>
  </sheetPr>
  <dimension ref="B1:N20"/>
  <sheetViews>
    <sheetView tabSelected="1" zoomScale="115" zoomScaleNormal="115" workbookViewId="0">
      <pane ySplit="3" topLeftCell="A8" activePane="bottomLeft" state="frozen"/>
      <selection activeCell="B8" sqref="B8"/>
      <selection pane="bottomLeft" activeCell="J22" sqref="J22"/>
    </sheetView>
  </sheetViews>
  <sheetFormatPr defaultColWidth="10.85546875" defaultRowHeight="15" x14ac:dyDescent="0.25"/>
  <cols>
    <col min="2" max="2" width="18" bestFit="1" customWidth="1"/>
    <col min="3" max="14" width="12" bestFit="1" customWidth="1"/>
  </cols>
  <sheetData>
    <row r="1" spans="2:14" x14ac:dyDescent="0.25">
      <c r="C1" s="29" t="s">
        <v>90</v>
      </c>
      <c r="D1" s="29" t="s">
        <v>91</v>
      </c>
      <c r="E1" s="29" t="s">
        <v>92</v>
      </c>
      <c r="F1" s="29" t="s">
        <v>93</v>
      </c>
      <c r="G1" s="29" t="s">
        <v>94</v>
      </c>
      <c r="H1" s="29" t="s">
        <v>95</v>
      </c>
      <c r="I1" s="29" t="s">
        <v>135</v>
      </c>
      <c r="J1" s="29" t="s">
        <v>136</v>
      </c>
      <c r="K1" s="29" t="s">
        <v>137</v>
      </c>
      <c r="L1" s="29" t="s">
        <v>138</v>
      </c>
      <c r="M1" s="29" t="s">
        <v>139</v>
      </c>
      <c r="N1" s="29" t="s">
        <v>140</v>
      </c>
    </row>
    <row r="2" spans="2:14" x14ac:dyDescent="0.25">
      <c r="C2" s="30" t="s">
        <v>110</v>
      </c>
      <c r="D2" s="30" t="s">
        <v>111</v>
      </c>
      <c r="E2" s="30" t="s">
        <v>112</v>
      </c>
      <c r="F2" s="30" t="s">
        <v>113</v>
      </c>
      <c r="G2" s="30" t="s">
        <v>114</v>
      </c>
      <c r="H2" s="30" t="s">
        <v>115</v>
      </c>
      <c r="I2" s="30" t="s">
        <v>116</v>
      </c>
      <c r="J2" s="30" t="s">
        <v>117</v>
      </c>
      <c r="K2" s="30" t="s">
        <v>118</v>
      </c>
      <c r="L2" s="30" t="s">
        <v>119</v>
      </c>
      <c r="M2" s="30" t="s">
        <v>120</v>
      </c>
      <c r="N2" s="30" t="s">
        <v>121</v>
      </c>
    </row>
    <row r="3" spans="2:14" x14ac:dyDescent="0.25"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</row>
    <row r="4" spans="2:14" x14ac:dyDescent="0.25">
      <c r="B4" t="s">
        <v>14</v>
      </c>
      <c r="C4" s="6">
        <v>18928135.072498478</v>
      </c>
      <c r="D4" s="6">
        <v>24920142.093276463</v>
      </c>
      <c r="E4" s="6">
        <v>33841465.42255</v>
      </c>
      <c r="F4" s="6">
        <v>31628224.583339993</v>
      </c>
      <c r="G4" s="6">
        <v>28396608.206160001</v>
      </c>
      <c r="H4" s="6">
        <v>22853546.025970001</v>
      </c>
      <c r="I4" s="6">
        <v>16910000.054470003</v>
      </c>
      <c r="J4" s="6">
        <v>20320262.58306</v>
      </c>
      <c r="K4" s="6">
        <v>37167698.933705002</v>
      </c>
      <c r="L4" s="6">
        <v>34279013.753494993</v>
      </c>
      <c r="M4" s="6">
        <v>37110361.590127759</v>
      </c>
      <c r="N4" s="6">
        <v>34586886.816891879</v>
      </c>
    </row>
    <row r="5" spans="2:14" x14ac:dyDescent="0.25">
      <c r="B5" t="s">
        <v>15</v>
      </c>
      <c r="C5" s="6">
        <v>-11379260.889478678</v>
      </c>
      <c r="D5" s="6">
        <v>-14940672.270526728</v>
      </c>
      <c r="E5" s="6">
        <v>-20325399.297635794</v>
      </c>
      <c r="F5" s="6">
        <v>-18975128.868847851</v>
      </c>
      <c r="G5" s="6">
        <v>-17054295.842964519</v>
      </c>
      <c r="H5" s="6">
        <v>-13728918.022774482</v>
      </c>
      <c r="I5" s="6">
        <v>-10145183.362461647</v>
      </c>
      <c r="J5" s="6">
        <v>-12170512.164061371</v>
      </c>
      <c r="K5" s="6">
        <v>-22281428.484606322</v>
      </c>
      <c r="L5" s="6">
        <v>-20527854.643009987</v>
      </c>
      <c r="M5" s="6">
        <v>-22204997.80304775</v>
      </c>
      <c r="N5" s="6">
        <v>-20700360.939808652</v>
      </c>
    </row>
    <row r="6" spans="2:14" ht="15.75" thickBot="1" x14ac:dyDescent="0.3">
      <c r="B6" s="1" t="s">
        <v>16</v>
      </c>
      <c r="C6" s="7">
        <f>SUM(C4:C5)</f>
        <v>7548874.1830198001</v>
      </c>
      <c r="D6" s="7">
        <f t="shared" ref="D6:N6" si="0">SUM(D4:D5)</f>
        <v>9979469.8227497358</v>
      </c>
      <c r="E6" s="7">
        <f t="shared" si="0"/>
        <v>13516066.124914207</v>
      </c>
      <c r="F6" s="7">
        <f t="shared" si="0"/>
        <v>12653095.714492142</v>
      </c>
      <c r="G6" s="7">
        <f t="shared" si="0"/>
        <v>11342312.363195483</v>
      </c>
      <c r="H6" s="7">
        <f t="shared" si="0"/>
        <v>9124628.0031955186</v>
      </c>
      <c r="I6" s="7">
        <f t="shared" si="0"/>
        <v>6764816.6920083556</v>
      </c>
      <c r="J6" s="7">
        <f t="shared" si="0"/>
        <v>8149750.4189986289</v>
      </c>
      <c r="K6" s="7">
        <f t="shared" si="0"/>
        <v>14886270.44909868</v>
      </c>
      <c r="L6" s="7">
        <f t="shared" si="0"/>
        <v>13751159.110485006</v>
      </c>
      <c r="M6" s="7">
        <f t="shared" si="0"/>
        <v>14905363.787080009</v>
      </c>
      <c r="N6" s="7">
        <f t="shared" si="0"/>
        <v>13886525.877083227</v>
      </c>
    </row>
    <row r="7" spans="2:14" ht="15.75" thickTop="1" x14ac:dyDescent="0.25">
      <c r="B7" t="s">
        <v>25</v>
      </c>
      <c r="C7" s="6">
        <v>-425933.52437138214</v>
      </c>
      <c r="D7" s="6">
        <v>-560769.6642574626</v>
      </c>
      <c r="E7" s="6">
        <v>-761523.23417545937</v>
      </c>
      <c r="F7" s="6">
        <v>-711719.41212343529</v>
      </c>
      <c r="G7" s="6">
        <v>-638999.42424948665</v>
      </c>
      <c r="H7" s="6">
        <v>-514265.74070512032</v>
      </c>
      <c r="I7" s="6">
        <v>-380520.10368340794</v>
      </c>
      <c r="J7" s="6">
        <v>-457260.10645021329</v>
      </c>
      <c r="K7" s="6">
        <v>-836372.35992725717</v>
      </c>
      <c r="L7" s="6">
        <v>-771369.23865336482</v>
      </c>
      <c r="M7" s="6">
        <v>-835082.11676624767</v>
      </c>
      <c r="N7" s="6">
        <v>-778297.20374075358</v>
      </c>
    </row>
    <row r="8" spans="2:14" x14ac:dyDescent="0.25">
      <c r="B8" t="s">
        <v>26</v>
      </c>
      <c r="C8" s="6">
        <v>-1666186.2385877755</v>
      </c>
      <c r="D8" s="6">
        <v>-2162748.0164199658</v>
      </c>
      <c r="E8" s="6">
        <v>-2853089.8029714175</v>
      </c>
      <c r="F8" s="6">
        <v>-2627283.7802903662</v>
      </c>
      <c r="G8" s="6">
        <v>-2288427.6901496761</v>
      </c>
      <c r="H8" s="6">
        <v>-1841723.0383378961</v>
      </c>
      <c r="I8" s="6">
        <v>-1320813.5830333168</v>
      </c>
      <c r="J8" s="6">
        <v>-1612377.234865766</v>
      </c>
      <c r="K8" s="6">
        <v>-3179597.401376348</v>
      </c>
      <c r="L8" s="6">
        <v>-3017477.462500765</v>
      </c>
      <c r="M8" s="6">
        <v>-3312722.4466760238</v>
      </c>
      <c r="N8" s="6">
        <v>-2958815.8158739386</v>
      </c>
    </row>
    <row r="9" spans="2:14" x14ac:dyDescent="0.25">
      <c r="B9" t="s">
        <v>27</v>
      </c>
      <c r="C9" s="6">
        <v>-2929859.4297916428</v>
      </c>
      <c r="D9" s="6">
        <v>-3825209.161681666</v>
      </c>
      <c r="E9" s="6">
        <v>-5107316.0562991342</v>
      </c>
      <c r="F9" s="6">
        <v>-4732498.8242035117</v>
      </c>
      <c r="G9" s="6">
        <v>-4248955.3782227663</v>
      </c>
      <c r="H9" s="6">
        <v>-3331115.959181576</v>
      </c>
      <c r="I9" s="6">
        <v>-2399352.2174073793</v>
      </c>
      <c r="J9" s="6">
        <v>-2857021.6092472407</v>
      </c>
      <c r="K9" s="6">
        <v>-5753135.8893773099</v>
      </c>
      <c r="L9" s="6">
        <v>-5394433.7090460155</v>
      </c>
      <c r="M9" s="6">
        <v>-5792129.5618906952</v>
      </c>
      <c r="N9" s="6">
        <v>-5309041.8116723811</v>
      </c>
    </row>
    <row r="10" spans="2:14" ht="15.75" thickBot="1" x14ac:dyDescent="0.3">
      <c r="B10" s="1" t="s">
        <v>50</v>
      </c>
      <c r="C10" s="7">
        <f t="shared" ref="C10:N10" si="1">SUM(C7:C9)</f>
        <v>-5021979.1927508004</v>
      </c>
      <c r="D10" s="7">
        <f t="shared" si="1"/>
        <v>-6548726.8423590939</v>
      </c>
      <c r="E10" s="7">
        <f t="shared" si="1"/>
        <v>-8721929.0934460107</v>
      </c>
      <c r="F10" s="7">
        <f t="shared" si="1"/>
        <v>-8071502.016617313</v>
      </c>
      <c r="G10" s="7">
        <f t="shared" si="1"/>
        <v>-7176382.4926219285</v>
      </c>
      <c r="H10" s="7">
        <f t="shared" si="1"/>
        <v>-5687104.7382245921</v>
      </c>
      <c r="I10" s="7">
        <f t="shared" si="1"/>
        <v>-4100685.904124104</v>
      </c>
      <c r="J10" s="7">
        <f t="shared" si="1"/>
        <v>-4926658.9505632203</v>
      </c>
      <c r="K10" s="7">
        <f t="shared" si="1"/>
        <v>-9769105.6506809145</v>
      </c>
      <c r="L10" s="7">
        <f t="shared" si="1"/>
        <v>-9183280.4102001451</v>
      </c>
      <c r="M10" s="7">
        <f t="shared" si="1"/>
        <v>-9939934.1253329664</v>
      </c>
      <c r="N10" s="7">
        <f t="shared" si="1"/>
        <v>-9046154.831287073</v>
      </c>
    </row>
    <row r="11" spans="2:14" ht="16.5" thickTop="1" thickBot="1" x14ac:dyDescent="0.3">
      <c r="B11" s="1" t="s">
        <v>123</v>
      </c>
      <c r="C11" s="7">
        <f t="shared" ref="C11:N11" si="2">C6+C10</f>
        <v>2526894.9902689997</v>
      </c>
      <c r="D11" s="7">
        <f t="shared" si="2"/>
        <v>3430742.9803906418</v>
      </c>
      <c r="E11" s="7">
        <f t="shared" si="2"/>
        <v>4794137.0314681958</v>
      </c>
      <c r="F11" s="7">
        <f t="shared" si="2"/>
        <v>4581593.6978748292</v>
      </c>
      <c r="G11" s="7">
        <f t="shared" si="2"/>
        <v>4165929.8705735542</v>
      </c>
      <c r="H11" s="7">
        <f t="shared" si="2"/>
        <v>3437523.2649709266</v>
      </c>
      <c r="I11" s="7">
        <f t="shared" si="2"/>
        <v>2664130.7878842517</v>
      </c>
      <c r="J11" s="7">
        <f t="shared" si="2"/>
        <v>3223091.4684354085</v>
      </c>
      <c r="K11" s="7">
        <f t="shared" si="2"/>
        <v>5117164.7984177656</v>
      </c>
      <c r="L11" s="7">
        <f t="shared" si="2"/>
        <v>4567878.700284861</v>
      </c>
      <c r="M11" s="7">
        <f t="shared" si="2"/>
        <v>4965429.6617470421</v>
      </c>
      <c r="N11" s="7">
        <f t="shared" si="2"/>
        <v>4840371.0457961541</v>
      </c>
    </row>
    <row r="12" spans="2:14" ht="15.75" thickTop="1" x14ac:dyDescent="0.25">
      <c r="B12" t="s">
        <v>18</v>
      </c>
      <c r="C12" s="6">
        <v>-1539741.8983129349</v>
      </c>
      <c r="D12" s="6">
        <v>-1539741.8983129349</v>
      </c>
      <c r="E12" s="6">
        <v>-1539741.8983129349</v>
      </c>
      <c r="F12" s="6">
        <v>-1539741.8983129349</v>
      </c>
      <c r="G12" s="6">
        <v>-1539741.8983129349</v>
      </c>
      <c r="H12" s="6">
        <v>-1539741.8983129349</v>
      </c>
      <c r="I12" s="6">
        <v>-1539741.8983129349</v>
      </c>
      <c r="J12" s="6">
        <v>-1539741.8983129349</v>
      </c>
      <c r="K12" s="6">
        <v>-1539741.8983129349</v>
      </c>
      <c r="L12" s="6">
        <v>-1539741.8983129349</v>
      </c>
      <c r="M12" s="6">
        <v>-1539741.8983129349</v>
      </c>
      <c r="N12" s="6">
        <v>-1539741.8983129349</v>
      </c>
    </row>
    <row r="13" spans="2:14" x14ac:dyDescent="0.25">
      <c r="B13" t="s">
        <v>17</v>
      </c>
      <c r="C13" s="6">
        <v>-594389.74846967391</v>
      </c>
      <c r="D13" s="6">
        <v>-654755.05247511726</v>
      </c>
      <c r="E13" s="6">
        <v>-762497.05155056156</v>
      </c>
      <c r="F13" s="6">
        <v>-798901.16833800438</v>
      </c>
      <c r="G13" s="6">
        <v>-718701.62325885019</v>
      </c>
      <c r="H13" s="6">
        <v>-679298.93643700017</v>
      </c>
      <c r="I13" s="6">
        <v>-550659.43916571513</v>
      </c>
      <c r="J13" s="6">
        <v>-500280.19480502716</v>
      </c>
      <c r="K13" s="6">
        <v>-797141.98774690367</v>
      </c>
      <c r="L13" s="6">
        <v>-1042540.7264045499</v>
      </c>
      <c r="M13" s="6">
        <v>-931217.06986752432</v>
      </c>
      <c r="N13" s="6">
        <v>-690225.44359521649</v>
      </c>
    </row>
    <row r="14" spans="2:14" x14ac:dyDescent="0.25">
      <c r="B14" t="s">
        <v>19</v>
      </c>
      <c r="C14" s="6">
        <v>-98844.251744617504</v>
      </c>
      <c r="D14" s="6">
        <v>-98844.251744617504</v>
      </c>
      <c r="E14" s="6">
        <v>-98581.501038982533</v>
      </c>
      <c r="F14" s="6">
        <v>-98581.501038982533</v>
      </c>
      <c r="G14" s="6">
        <v>-98581.501038982533</v>
      </c>
      <c r="H14" s="6">
        <v>-98586.819221000012</v>
      </c>
      <c r="I14" s="6">
        <v>-98771.160785000029</v>
      </c>
      <c r="J14" s="6">
        <v>-98940.653834000012</v>
      </c>
      <c r="K14" s="6">
        <v>-98732.896833999999</v>
      </c>
      <c r="L14" s="6">
        <v>-98732.896833999999</v>
      </c>
      <c r="M14" s="6">
        <v>-98732.896833999999</v>
      </c>
      <c r="N14" s="6">
        <v>-98732.896833999999</v>
      </c>
    </row>
    <row r="15" spans="2:14" x14ac:dyDescent="0.25">
      <c r="B15" t="s">
        <v>22</v>
      </c>
      <c r="C15" s="6">
        <v>-17658.308619875002</v>
      </c>
      <c r="D15" s="6">
        <v>-12474.306497125002</v>
      </c>
      <c r="E15" s="6">
        <v>-15709.405800000002</v>
      </c>
      <c r="F15" s="6">
        <v>-14632.893000000002</v>
      </c>
      <c r="G15" s="6">
        <v>-16361.728900000002</v>
      </c>
      <c r="H15" s="6">
        <v>-20406.097635000009</v>
      </c>
      <c r="I15" s="6">
        <v>-16432.215030000003</v>
      </c>
      <c r="J15" s="6">
        <v>-13968.283560000003</v>
      </c>
      <c r="K15" s="6">
        <v>-16171.699005000004</v>
      </c>
      <c r="L15" s="6">
        <v>-18664.331070000004</v>
      </c>
      <c r="M15" s="6">
        <v>-14523.631815000002</v>
      </c>
      <c r="N15" s="6">
        <v>-35025.620532787507</v>
      </c>
    </row>
    <row r="16" spans="2:14" x14ac:dyDescent="0.25">
      <c r="B16" t="s">
        <v>21</v>
      </c>
      <c r="C16" s="6">
        <v>-14849.600051047786</v>
      </c>
      <c r="D16" s="6">
        <v>-10407.952020766785</v>
      </c>
      <c r="E16" s="6">
        <v>0</v>
      </c>
      <c r="F16" s="6">
        <v>-4454.3094750000009</v>
      </c>
      <c r="G16" s="6">
        <v>-8445.132641137503</v>
      </c>
      <c r="H16" s="6">
        <v>-8833.119805125003</v>
      </c>
      <c r="I16" s="6">
        <v>-11727.664571700001</v>
      </c>
      <c r="J16" s="6">
        <v>-2298.7738706625009</v>
      </c>
      <c r="K16" s="6">
        <v>0</v>
      </c>
      <c r="L16" s="6">
        <v>-12002.445040162502</v>
      </c>
      <c r="M16" s="6">
        <v>-6081.5051451000018</v>
      </c>
      <c r="N16" s="6">
        <v>-7952.3431391250033</v>
      </c>
    </row>
    <row r="17" spans="2:14" x14ac:dyDescent="0.25">
      <c r="B17" t="s">
        <v>20</v>
      </c>
      <c r="C17" s="6">
        <v>-103700.16645883126</v>
      </c>
      <c r="D17" s="6">
        <v>-44373.950162850007</v>
      </c>
      <c r="E17" s="6">
        <v>-67523.009400000024</v>
      </c>
      <c r="F17" s="6">
        <v>-26145.365400000006</v>
      </c>
      <c r="G17" s="6">
        <v>-27428.697450000003</v>
      </c>
      <c r="H17" s="6">
        <v>-63358.628025000013</v>
      </c>
      <c r="I17" s="6">
        <v>-41498.100105000005</v>
      </c>
      <c r="J17" s="6">
        <v>-39352.45429500001</v>
      </c>
      <c r="K17" s="6">
        <v>-36790.465635000008</v>
      </c>
      <c r="L17" s="6">
        <v>-38847.112920000007</v>
      </c>
      <c r="M17" s="6">
        <v>-40944.657599999999</v>
      </c>
      <c r="N17" s="6">
        <v>-42889.018095000007</v>
      </c>
    </row>
    <row r="18" spans="2:14" ht="15.75" thickBot="1" x14ac:dyDescent="0.3">
      <c r="B18" s="1" t="s">
        <v>23</v>
      </c>
      <c r="C18" s="7">
        <f t="shared" ref="C18:N18" si="3">SUM(C12:C17)</f>
        <v>-2369183.9736569803</v>
      </c>
      <c r="D18" s="7">
        <f t="shared" si="3"/>
        <v>-2360597.4112134115</v>
      </c>
      <c r="E18" s="7">
        <f>SUM(E12:E17)</f>
        <v>-2484052.8661024785</v>
      </c>
      <c r="F18" s="7">
        <f t="shared" si="3"/>
        <v>-2482457.1355649219</v>
      </c>
      <c r="G18" s="7">
        <f t="shared" si="3"/>
        <v>-2409260.5816019052</v>
      </c>
      <c r="H18" s="7">
        <f t="shared" si="3"/>
        <v>-2410225.4994360604</v>
      </c>
      <c r="I18" s="7">
        <f t="shared" si="3"/>
        <v>-2258830.4779703505</v>
      </c>
      <c r="J18" s="7">
        <f t="shared" si="3"/>
        <v>-2194582.2586776246</v>
      </c>
      <c r="K18" s="7">
        <f t="shared" si="3"/>
        <v>-2488578.947533838</v>
      </c>
      <c r="L18" s="7">
        <f t="shared" si="3"/>
        <v>-2750529.4105816474</v>
      </c>
      <c r="M18" s="7">
        <f t="shared" si="3"/>
        <v>-2631241.659574559</v>
      </c>
      <c r="N18" s="7">
        <f t="shared" si="3"/>
        <v>-2414567.2205090639</v>
      </c>
    </row>
    <row r="19" spans="2:14" ht="16.5" thickTop="1" thickBot="1" x14ac:dyDescent="0.3">
      <c r="B19" s="1" t="s">
        <v>24</v>
      </c>
      <c r="C19" s="7">
        <f t="shared" ref="C19:N19" si="4">C11+C18</f>
        <v>157711.01661201939</v>
      </c>
      <c r="D19" s="7">
        <f t="shared" si="4"/>
        <v>1070145.5691772304</v>
      </c>
      <c r="E19" s="7">
        <f t="shared" si="4"/>
        <v>2310084.1653657174</v>
      </c>
      <c r="F19" s="7">
        <f t="shared" si="4"/>
        <v>2099136.5623099073</v>
      </c>
      <c r="G19" s="7">
        <f t="shared" si="4"/>
        <v>1756669.288971649</v>
      </c>
      <c r="H19" s="7">
        <f t="shared" si="4"/>
        <v>1027297.7655348661</v>
      </c>
      <c r="I19" s="7">
        <f t="shared" si="4"/>
        <v>405300.30991390115</v>
      </c>
      <c r="J19" s="7">
        <f t="shared" si="4"/>
        <v>1028509.2097577839</v>
      </c>
      <c r="K19" s="7">
        <f t="shared" si="4"/>
        <v>2628585.8508839277</v>
      </c>
      <c r="L19" s="7">
        <f t="shared" si="4"/>
        <v>1817349.2897032136</v>
      </c>
      <c r="M19" s="7">
        <f t="shared" si="4"/>
        <v>2334188.0021724831</v>
      </c>
      <c r="N19" s="7">
        <f t="shared" si="4"/>
        <v>2425803.8252870901</v>
      </c>
    </row>
    <row r="20" spans="2:14" ht="15.75" thickTop="1" x14ac:dyDescent="0.25"/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523-C0CE-4977-91A8-4E7738736B38}">
  <sheetPr>
    <tabColor rgb="FFFFC000"/>
  </sheetPr>
  <dimension ref="A1:AA466"/>
  <sheetViews>
    <sheetView topLeftCell="C8" zoomScale="70" zoomScaleNormal="70" workbookViewId="0">
      <selection activeCell="J5" sqref="J5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18.140625" bestFit="1" customWidth="1"/>
    <col min="4" max="4" width="13.42578125" bestFit="1" customWidth="1"/>
    <col min="5" max="5" width="31.42578125" bestFit="1" customWidth="1"/>
    <col min="6" max="6" width="13.85546875" bestFit="1" customWidth="1"/>
    <col min="7" max="7" width="16.42578125" bestFit="1" customWidth="1"/>
    <col min="8" max="8" width="14.140625" bestFit="1" customWidth="1"/>
    <col min="9" max="9" width="31.42578125" bestFit="1" customWidth="1"/>
    <col min="10" max="10" width="18.140625" bestFit="1" customWidth="1"/>
    <col min="11" max="15" width="13.85546875" bestFit="1" customWidth="1"/>
    <col min="16" max="16" width="13" bestFit="1" customWidth="1"/>
    <col min="17" max="27" width="13.85546875" bestFit="1" customWidth="1"/>
    <col min="28" max="28" width="14.28515625" bestFit="1" customWidth="1"/>
    <col min="29" max="29" width="15" bestFit="1" customWidth="1"/>
    <col min="30" max="30" width="15.7109375" bestFit="1" customWidth="1"/>
    <col min="31" max="31" width="13.85546875" bestFit="1" customWidth="1"/>
    <col min="32" max="32" width="14.5703125" bestFit="1" customWidth="1"/>
    <col min="33" max="42" width="13.5703125" bestFit="1" customWidth="1"/>
    <col min="43" max="43" width="15.85546875" bestFit="1" customWidth="1"/>
    <col min="44" max="46" width="13.5703125" bestFit="1" customWidth="1"/>
    <col min="47" max="47" width="16.28515625" bestFit="1" customWidth="1"/>
    <col min="48" max="48" width="14.5703125" bestFit="1" customWidth="1"/>
    <col min="49" max="49" width="15.85546875" bestFit="1" customWidth="1"/>
    <col min="50" max="50" width="27.140625" bestFit="1" customWidth="1"/>
    <col min="51" max="51" width="17.5703125" bestFit="1" customWidth="1"/>
    <col min="52" max="52" width="18.7109375" bestFit="1" customWidth="1"/>
    <col min="53" max="53" width="16.85546875" bestFit="1" customWidth="1"/>
    <col min="54" max="54" width="16.42578125" bestFit="1" customWidth="1"/>
    <col min="55" max="55" width="14.42578125" bestFit="1" customWidth="1"/>
    <col min="56" max="56" width="20.85546875" bestFit="1" customWidth="1"/>
    <col min="57" max="57" width="16.7109375" bestFit="1" customWidth="1"/>
    <col min="58" max="58" width="9.85546875" bestFit="1" customWidth="1"/>
    <col min="59" max="60" width="13.140625" bestFit="1" customWidth="1"/>
    <col min="61" max="61" width="12.7109375" bestFit="1" customWidth="1"/>
    <col min="62" max="62" width="7.42578125" bestFit="1" customWidth="1"/>
    <col min="63" max="63" width="12.42578125" bestFit="1" customWidth="1"/>
    <col min="64" max="64" width="11.5703125" bestFit="1" customWidth="1"/>
    <col min="65" max="65" width="13.5703125" bestFit="1" customWidth="1"/>
    <col min="66" max="66" width="10.85546875" bestFit="1" customWidth="1"/>
    <col min="67" max="67" width="14" bestFit="1" customWidth="1"/>
    <col min="68" max="68" width="10.85546875" bestFit="1" customWidth="1"/>
    <col min="69" max="69" width="27.42578125" bestFit="1" customWidth="1"/>
    <col min="70" max="70" width="31.42578125" bestFit="1" customWidth="1"/>
    <col min="71" max="71" width="29.42578125" bestFit="1" customWidth="1"/>
    <col min="72" max="72" width="29.140625" bestFit="1" customWidth="1"/>
    <col min="73" max="73" width="24.5703125" bestFit="1" customWidth="1"/>
    <col min="74" max="74" width="26.28515625" bestFit="1" customWidth="1"/>
    <col min="75" max="75" width="16.42578125" bestFit="1" customWidth="1"/>
    <col min="76" max="76" width="15.85546875" bestFit="1" customWidth="1"/>
    <col min="77" max="77" width="27.140625" bestFit="1" customWidth="1"/>
    <col min="78" max="78" width="17.5703125" bestFit="1" customWidth="1"/>
    <col min="79" max="79" width="18.7109375" bestFit="1" customWidth="1"/>
    <col min="80" max="80" width="16.85546875" bestFit="1" customWidth="1"/>
    <col min="81" max="81" width="16.42578125" bestFit="1" customWidth="1"/>
    <col min="82" max="82" width="14.42578125" bestFit="1" customWidth="1"/>
    <col min="83" max="83" width="20.85546875" bestFit="1" customWidth="1"/>
    <col min="84" max="84" width="16.7109375" bestFit="1" customWidth="1"/>
    <col min="85" max="85" width="9.85546875" bestFit="1" customWidth="1"/>
    <col min="86" max="87" width="13.140625" bestFit="1" customWidth="1"/>
    <col min="88" max="88" width="12.7109375" bestFit="1" customWidth="1"/>
    <col min="89" max="89" width="8.85546875" bestFit="1" customWidth="1"/>
    <col min="90" max="91" width="12.42578125" bestFit="1" customWidth="1"/>
    <col min="92" max="92" width="13.5703125" bestFit="1" customWidth="1"/>
    <col min="93" max="93" width="10.85546875" bestFit="1" customWidth="1"/>
    <col min="94" max="94" width="14" bestFit="1" customWidth="1"/>
    <col min="95" max="95" width="12.42578125" bestFit="1" customWidth="1"/>
    <col min="96" max="96" width="27.42578125" bestFit="1" customWidth="1"/>
    <col min="97" max="97" width="31.42578125" bestFit="1" customWidth="1"/>
    <col min="98" max="98" width="29.42578125" bestFit="1" customWidth="1"/>
    <col min="99" max="99" width="29.140625" bestFit="1" customWidth="1"/>
    <col min="100" max="100" width="24.5703125" bestFit="1" customWidth="1"/>
    <col min="101" max="101" width="26.28515625" bestFit="1" customWidth="1"/>
    <col min="102" max="102" width="16.42578125" bestFit="1" customWidth="1"/>
    <col min="103" max="103" width="15.85546875" bestFit="1" customWidth="1"/>
    <col min="104" max="104" width="27.140625" bestFit="1" customWidth="1"/>
    <col min="105" max="105" width="17.5703125" bestFit="1" customWidth="1"/>
    <col min="106" max="106" width="18.7109375" bestFit="1" customWidth="1"/>
    <col min="107" max="107" width="16.85546875" bestFit="1" customWidth="1"/>
    <col min="108" max="108" width="16.42578125" bestFit="1" customWidth="1"/>
    <col min="109" max="109" width="14.42578125" bestFit="1" customWidth="1"/>
    <col min="110" max="110" width="20.85546875" bestFit="1" customWidth="1"/>
    <col min="111" max="111" width="16.7109375" bestFit="1" customWidth="1"/>
    <col min="112" max="112" width="9.85546875" bestFit="1" customWidth="1"/>
    <col min="113" max="114" width="13.140625" bestFit="1" customWidth="1"/>
    <col min="115" max="115" width="12.7109375" bestFit="1" customWidth="1"/>
    <col min="116" max="116" width="8.85546875" bestFit="1" customWidth="1"/>
    <col min="117" max="117" width="12.42578125" bestFit="1" customWidth="1"/>
    <col min="118" max="118" width="15.5703125" bestFit="1" customWidth="1"/>
    <col min="119" max="119" width="13.5703125" bestFit="1" customWidth="1"/>
    <col min="120" max="120" width="10.85546875" bestFit="1" customWidth="1"/>
    <col min="121" max="121" width="14" bestFit="1" customWidth="1"/>
    <col min="122" max="122" width="10.85546875" bestFit="1" customWidth="1"/>
    <col min="123" max="123" width="27.42578125" bestFit="1" customWidth="1"/>
    <col min="124" max="124" width="31.42578125" bestFit="1" customWidth="1"/>
    <col min="125" max="125" width="29.42578125" bestFit="1" customWidth="1"/>
    <col min="126" max="126" width="29.140625" bestFit="1" customWidth="1"/>
    <col min="127" max="127" width="24.5703125" bestFit="1" customWidth="1"/>
    <col min="128" max="128" width="26.28515625" bestFit="1" customWidth="1"/>
    <col min="129" max="129" width="16.42578125" bestFit="1" customWidth="1"/>
    <col min="130" max="130" width="15.85546875" bestFit="1" customWidth="1"/>
    <col min="131" max="131" width="27.140625" bestFit="1" customWidth="1"/>
    <col min="132" max="132" width="17.5703125" bestFit="1" customWidth="1"/>
    <col min="133" max="133" width="18.7109375" bestFit="1" customWidth="1"/>
    <col min="134" max="134" width="16.85546875" bestFit="1" customWidth="1"/>
    <col min="135" max="135" width="16.42578125" bestFit="1" customWidth="1"/>
    <col min="136" max="136" width="14.42578125" bestFit="1" customWidth="1"/>
    <col min="137" max="137" width="20.85546875" bestFit="1" customWidth="1"/>
    <col min="138" max="138" width="16.7109375" bestFit="1" customWidth="1"/>
    <col min="139" max="139" width="9.85546875" bestFit="1" customWidth="1"/>
    <col min="140" max="141" width="13.140625" bestFit="1" customWidth="1"/>
    <col min="142" max="142" width="12.7109375" bestFit="1" customWidth="1"/>
    <col min="143" max="143" width="8.85546875" bestFit="1" customWidth="1"/>
    <col min="144" max="144" width="12.42578125" bestFit="1" customWidth="1"/>
    <col min="145" max="145" width="14.28515625" bestFit="1" customWidth="1"/>
    <col min="146" max="146" width="13.5703125" bestFit="1" customWidth="1"/>
    <col min="147" max="147" width="10.85546875" bestFit="1" customWidth="1"/>
    <col min="148" max="148" width="14" bestFit="1" customWidth="1"/>
    <col min="149" max="149" width="10.85546875" bestFit="1" customWidth="1"/>
    <col min="150" max="150" width="27.42578125" bestFit="1" customWidth="1"/>
    <col min="151" max="151" width="31.42578125" bestFit="1" customWidth="1"/>
    <col min="152" max="152" width="29.42578125" bestFit="1" customWidth="1"/>
    <col min="153" max="153" width="29.140625" bestFit="1" customWidth="1"/>
    <col min="154" max="154" width="24.5703125" bestFit="1" customWidth="1"/>
    <col min="155" max="155" width="26.28515625" bestFit="1" customWidth="1"/>
    <col min="156" max="156" width="16.42578125" bestFit="1" customWidth="1"/>
    <col min="157" max="157" width="15.85546875" bestFit="1" customWidth="1"/>
    <col min="158" max="158" width="27.140625" bestFit="1" customWidth="1"/>
    <col min="159" max="159" width="17.5703125" bestFit="1" customWidth="1"/>
    <col min="160" max="160" width="18.7109375" bestFit="1" customWidth="1"/>
    <col min="161" max="161" width="16.85546875" bestFit="1" customWidth="1"/>
    <col min="162" max="162" width="16.42578125" bestFit="1" customWidth="1"/>
    <col min="163" max="163" width="14.42578125" bestFit="1" customWidth="1"/>
    <col min="164" max="164" width="20.85546875" bestFit="1" customWidth="1"/>
    <col min="165" max="165" width="16.7109375" bestFit="1" customWidth="1"/>
    <col min="166" max="166" width="9.85546875" bestFit="1" customWidth="1"/>
    <col min="167" max="168" width="13.140625" bestFit="1" customWidth="1"/>
    <col min="169" max="169" width="12.7109375" bestFit="1" customWidth="1"/>
    <col min="170" max="170" width="8.85546875" bestFit="1" customWidth="1"/>
    <col min="171" max="171" width="12.42578125" bestFit="1" customWidth="1"/>
    <col min="172" max="172" width="15.28515625" bestFit="1" customWidth="1"/>
    <col min="173" max="173" width="12.42578125" bestFit="1" customWidth="1"/>
    <col min="174" max="174" width="10.85546875" bestFit="1" customWidth="1"/>
    <col min="175" max="175" width="14" bestFit="1" customWidth="1"/>
    <col min="176" max="176" width="10.85546875" bestFit="1" customWidth="1"/>
    <col min="177" max="177" width="27.42578125" bestFit="1" customWidth="1"/>
    <col min="178" max="178" width="31.42578125" bestFit="1" customWidth="1"/>
    <col min="179" max="179" width="29.42578125" bestFit="1" customWidth="1"/>
    <col min="180" max="180" width="29.140625" bestFit="1" customWidth="1"/>
    <col min="181" max="181" width="24.5703125" bestFit="1" customWidth="1"/>
    <col min="182" max="182" width="26.28515625" bestFit="1" customWidth="1"/>
    <col min="183" max="183" width="16.42578125" bestFit="1" customWidth="1"/>
    <col min="184" max="184" width="15.85546875" bestFit="1" customWidth="1"/>
    <col min="185" max="185" width="27.140625" bestFit="1" customWidth="1"/>
    <col min="186" max="186" width="17.5703125" bestFit="1" customWidth="1"/>
    <col min="187" max="187" width="18.7109375" bestFit="1" customWidth="1"/>
    <col min="188" max="188" width="16.85546875" bestFit="1" customWidth="1"/>
    <col min="189" max="189" width="16.42578125" bestFit="1" customWidth="1"/>
    <col min="190" max="190" width="14.42578125" bestFit="1" customWidth="1"/>
    <col min="191" max="191" width="20.85546875" bestFit="1" customWidth="1"/>
    <col min="192" max="192" width="16.7109375" bestFit="1" customWidth="1"/>
    <col min="193" max="193" width="9.85546875" bestFit="1" customWidth="1"/>
    <col min="194" max="195" width="13.140625" bestFit="1" customWidth="1"/>
    <col min="196" max="196" width="12.7109375" bestFit="1" customWidth="1"/>
    <col min="197" max="197" width="9.85546875" bestFit="1" customWidth="1"/>
    <col min="198" max="198" width="12.42578125" bestFit="1" customWidth="1"/>
    <col min="199" max="199" width="13.140625" bestFit="1" customWidth="1"/>
    <col min="200" max="200" width="12.42578125" bestFit="1" customWidth="1"/>
    <col min="201" max="201" width="10.85546875" bestFit="1" customWidth="1"/>
    <col min="202" max="202" width="14" bestFit="1" customWidth="1"/>
    <col min="203" max="203" width="10.85546875" bestFit="1" customWidth="1"/>
    <col min="204" max="204" width="27.42578125" bestFit="1" customWidth="1"/>
    <col min="205" max="205" width="31.42578125" bestFit="1" customWidth="1"/>
    <col min="206" max="206" width="29.42578125" bestFit="1" customWidth="1"/>
    <col min="207" max="207" width="29.140625" bestFit="1" customWidth="1"/>
    <col min="208" max="208" width="24.5703125" bestFit="1" customWidth="1"/>
    <col min="209" max="209" width="26.28515625" bestFit="1" customWidth="1"/>
    <col min="210" max="210" width="16.42578125" bestFit="1" customWidth="1"/>
    <col min="211" max="211" width="15.85546875" bestFit="1" customWidth="1"/>
    <col min="212" max="212" width="27.140625" bestFit="1" customWidth="1"/>
    <col min="213" max="213" width="17.5703125" bestFit="1" customWidth="1"/>
    <col min="214" max="214" width="18.7109375" bestFit="1" customWidth="1"/>
    <col min="215" max="215" width="16.85546875" bestFit="1" customWidth="1"/>
    <col min="216" max="216" width="16.42578125" bestFit="1" customWidth="1"/>
    <col min="217" max="217" width="14.42578125" bestFit="1" customWidth="1"/>
    <col min="218" max="218" width="20.85546875" bestFit="1" customWidth="1"/>
    <col min="219" max="219" width="16.7109375" bestFit="1" customWidth="1"/>
    <col min="220" max="220" width="9.85546875" bestFit="1" customWidth="1"/>
    <col min="221" max="222" width="13.140625" bestFit="1" customWidth="1"/>
    <col min="223" max="223" width="12.7109375" bestFit="1" customWidth="1"/>
    <col min="224" max="224" width="9.85546875" bestFit="1" customWidth="1"/>
    <col min="225" max="225" width="12.42578125" bestFit="1" customWidth="1"/>
    <col min="226" max="226" width="14.140625" bestFit="1" customWidth="1"/>
    <col min="227" max="227" width="12.42578125" bestFit="1" customWidth="1"/>
    <col min="228" max="228" width="10.85546875" bestFit="1" customWidth="1"/>
    <col min="229" max="229" width="14" bestFit="1" customWidth="1"/>
    <col min="230" max="230" width="10.85546875" bestFit="1" customWidth="1"/>
    <col min="231" max="231" width="27.42578125" bestFit="1" customWidth="1"/>
    <col min="232" max="232" width="31.42578125" bestFit="1" customWidth="1"/>
    <col min="233" max="233" width="29.42578125" bestFit="1" customWidth="1"/>
    <col min="234" max="234" width="29.140625" bestFit="1" customWidth="1"/>
    <col min="235" max="235" width="24.5703125" bestFit="1" customWidth="1"/>
    <col min="236" max="236" width="26.28515625" bestFit="1" customWidth="1"/>
    <col min="237" max="237" width="16.42578125" bestFit="1" customWidth="1"/>
    <col min="238" max="238" width="15.85546875" bestFit="1" customWidth="1"/>
    <col min="239" max="239" width="27.140625" bestFit="1" customWidth="1"/>
    <col min="240" max="240" width="17.5703125" bestFit="1" customWidth="1"/>
    <col min="241" max="241" width="18.7109375" bestFit="1" customWidth="1"/>
    <col min="242" max="242" width="16.85546875" bestFit="1" customWidth="1"/>
    <col min="243" max="243" width="16.42578125" bestFit="1" customWidth="1"/>
    <col min="244" max="244" width="14.42578125" bestFit="1" customWidth="1"/>
    <col min="245" max="245" width="20.85546875" bestFit="1" customWidth="1"/>
    <col min="246" max="246" width="16.7109375" bestFit="1" customWidth="1"/>
    <col min="247" max="247" width="9.85546875" bestFit="1" customWidth="1"/>
    <col min="248" max="249" width="13.140625" bestFit="1" customWidth="1"/>
    <col min="250" max="250" width="12.7109375" bestFit="1" customWidth="1"/>
    <col min="251" max="251" width="9.85546875" bestFit="1" customWidth="1"/>
    <col min="252" max="252" width="12.42578125" bestFit="1" customWidth="1"/>
    <col min="253" max="253" width="10.28515625" bestFit="1" customWidth="1"/>
    <col min="254" max="254" width="13.5703125" bestFit="1" customWidth="1"/>
    <col min="255" max="255" width="10.85546875" bestFit="1" customWidth="1"/>
    <col min="256" max="256" width="14" bestFit="1" customWidth="1"/>
    <col min="257" max="257" width="10.85546875" bestFit="1" customWidth="1"/>
    <col min="258" max="258" width="27.42578125" bestFit="1" customWidth="1"/>
    <col min="259" max="259" width="31.42578125" bestFit="1" customWidth="1"/>
    <col min="260" max="260" width="29.42578125" bestFit="1" customWidth="1"/>
    <col min="261" max="261" width="29.140625" bestFit="1" customWidth="1"/>
    <col min="262" max="262" width="24.5703125" bestFit="1" customWidth="1"/>
    <col min="263" max="263" width="26.28515625" bestFit="1" customWidth="1"/>
    <col min="264" max="264" width="16.42578125" bestFit="1" customWidth="1"/>
    <col min="265" max="265" width="15.85546875" bestFit="1" customWidth="1"/>
    <col min="266" max="266" width="27.140625" bestFit="1" customWidth="1"/>
    <col min="267" max="267" width="17.5703125" bestFit="1" customWidth="1"/>
    <col min="268" max="268" width="18.7109375" bestFit="1" customWidth="1"/>
    <col min="269" max="269" width="16.85546875" bestFit="1" customWidth="1"/>
    <col min="270" max="270" width="16.42578125" bestFit="1" customWidth="1"/>
    <col min="271" max="271" width="14.42578125" bestFit="1" customWidth="1"/>
    <col min="272" max="272" width="20.85546875" bestFit="1" customWidth="1"/>
    <col min="273" max="273" width="16.7109375" bestFit="1" customWidth="1"/>
    <col min="274" max="274" width="9.85546875" bestFit="1" customWidth="1"/>
    <col min="275" max="276" width="13.140625" bestFit="1" customWidth="1"/>
    <col min="277" max="277" width="12.7109375" bestFit="1" customWidth="1"/>
    <col min="278" max="278" width="8.85546875" bestFit="1" customWidth="1"/>
    <col min="279" max="279" width="12.42578125" bestFit="1" customWidth="1"/>
    <col min="280" max="280" width="10.42578125" bestFit="1" customWidth="1"/>
    <col min="281" max="281" width="13.5703125" bestFit="1" customWidth="1"/>
    <col min="282" max="282" width="10.85546875" bestFit="1" customWidth="1"/>
    <col min="283" max="283" width="14" bestFit="1" customWidth="1"/>
    <col min="284" max="284" width="10.85546875" bestFit="1" customWidth="1"/>
    <col min="285" max="285" width="27.42578125" bestFit="1" customWidth="1"/>
    <col min="286" max="286" width="31.42578125" bestFit="1" customWidth="1"/>
    <col min="287" max="287" width="29.42578125" bestFit="1" customWidth="1"/>
    <col min="288" max="288" width="29.140625" bestFit="1" customWidth="1"/>
    <col min="289" max="289" width="24.5703125" bestFit="1" customWidth="1"/>
    <col min="290" max="290" width="26.28515625" bestFit="1" customWidth="1"/>
    <col min="291" max="291" width="16.42578125" bestFit="1" customWidth="1"/>
    <col min="292" max="292" width="15.85546875" bestFit="1" customWidth="1"/>
    <col min="293" max="293" width="27.140625" bestFit="1" customWidth="1"/>
    <col min="294" max="294" width="17.5703125" bestFit="1" customWidth="1"/>
    <col min="295" max="295" width="18.7109375" bestFit="1" customWidth="1"/>
    <col min="296" max="296" width="16.85546875" bestFit="1" customWidth="1"/>
    <col min="297" max="297" width="16.42578125" bestFit="1" customWidth="1"/>
    <col min="298" max="298" width="14.42578125" bestFit="1" customWidth="1"/>
    <col min="299" max="299" width="20.85546875" bestFit="1" customWidth="1"/>
    <col min="300" max="300" width="16.7109375" bestFit="1" customWidth="1"/>
    <col min="301" max="301" width="9.85546875" bestFit="1" customWidth="1"/>
    <col min="302" max="303" width="13.140625" bestFit="1" customWidth="1"/>
    <col min="304" max="304" width="12.7109375" bestFit="1" customWidth="1"/>
    <col min="305" max="305" width="8.85546875" bestFit="1" customWidth="1"/>
    <col min="306" max="306" width="12.42578125" bestFit="1" customWidth="1"/>
    <col min="307" max="307" width="11.42578125" bestFit="1" customWidth="1"/>
    <col min="308" max="308" width="13.5703125" bestFit="1" customWidth="1"/>
    <col min="309" max="309" width="10.85546875" bestFit="1" customWidth="1"/>
    <col min="310" max="310" width="14" bestFit="1" customWidth="1"/>
    <col min="311" max="311" width="12.42578125" bestFit="1" customWidth="1"/>
    <col min="312" max="312" width="27.42578125" bestFit="1" customWidth="1"/>
    <col min="313" max="313" width="31.42578125" bestFit="1" customWidth="1"/>
    <col min="314" max="314" width="29.42578125" bestFit="1" customWidth="1"/>
    <col min="315" max="315" width="29.140625" bestFit="1" customWidth="1"/>
    <col min="316" max="316" width="26.28515625" bestFit="1" customWidth="1"/>
    <col min="317" max="317" width="17.7109375" bestFit="1" customWidth="1"/>
    <col min="318" max="318" width="16.42578125" bestFit="1" customWidth="1"/>
    <col min="319" max="319" width="15.85546875" bestFit="1" customWidth="1"/>
    <col min="320" max="320" width="27.140625" bestFit="1" customWidth="1"/>
    <col min="321" max="321" width="17.5703125" bestFit="1" customWidth="1"/>
    <col min="322" max="322" width="18.7109375" bestFit="1" customWidth="1"/>
    <col min="323" max="323" width="16.85546875" bestFit="1" customWidth="1"/>
    <col min="324" max="324" width="16.42578125" bestFit="1" customWidth="1"/>
    <col min="325" max="325" width="14.42578125" bestFit="1" customWidth="1"/>
    <col min="326" max="326" width="20.85546875" bestFit="1" customWidth="1"/>
    <col min="327" max="327" width="16.7109375" bestFit="1" customWidth="1"/>
    <col min="328" max="328" width="9.85546875" bestFit="1" customWidth="1"/>
    <col min="329" max="330" width="13.140625" bestFit="1" customWidth="1"/>
    <col min="331" max="331" width="12.7109375" bestFit="1" customWidth="1"/>
    <col min="332" max="332" width="12.42578125" bestFit="1" customWidth="1"/>
    <col min="333" max="333" width="11.85546875" bestFit="1" customWidth="1"/>
    <col min="334" max="334" width="13.5703125" bestFit="1" customWidth="1"/>
    <col min="335" max="335" width="10.85546875" bestFit="1" customWidth="1"/>
    <col min="336" max="336" width="14" bestFit="1" customWidth="1"/>
    <col min="337" max="337" width="12.42578125" bestFit="1" customWidth="1"/>
    <col min="338" max="338" width="27.42578125" bestFit="1" customWidth="1"/>
    <col min="339" max="339" width="31.42578125" bestFit="1" customWidth="1"/>
    <col min="340" max="340" width="29.42578125" bestFit="1" customWidth="1"/>
    <col min="341" max="341" width="29.140625" bestFit="1" customWidth="1"/>
    <col min="342" max="342" width="24.5703125" bestFit="1" customWidth="1"/>
    <col min="343" max="343" width="26.28515625" bestFit="1" customWidth="1"/>
    <col min="344" max="344" width="17.7109375" bestFit="1" customWidth="1"/>
    <col min="345" max="345" width="16.42578125" bestFit="1" customWidth="1"/>
    <col min="346" max="346" width="15.85546875" bestFit="1" customWidth="1"/>
    <col min="347" max="347" width="27.140625" bestFit="1" customWidth="1"/>
    <col min="348" max="348" width="17.5703125" bestFit="1" customWidth="1"/>
    <col min="349" max="349" width="18.7109375" bestFit="1" customWidth="1"/>
    <col min="350" max="350" width="16.85546875" bestFit="1" customWidth="1"/>
    <col min="351" max="351" width="16.42578125" bestFit="1" customWidth="1"/>
    <col min="352" max="352" width="14.42578125" bestFit="1" customWidth="1"/>
    <col min="353" max="353" width="20.85546875" bestFit="1" customWidth="1"/>
    <col min="354" max="354" width="16.7109375" bestFit="1" customWidth="1"/>
    <col min="355" max="355" width="9.85546875" bestFit="1" customWidth="1"/>
    <col min="356" max="357" width="13.140625" bestFit="1" customWidth="1"/>
    <col min="358" max="358" width="12.7109375" bestFit="1" customWidth="1"/>
    <col min="359" max="359" width="7.42578125" bestFit="1" customWidth="1"/>
    <col min="360" max="360" width="12.42578125" bestFit="1" customWidth="1"/>
    <col min="361" max="361" width="12.85546875" bestFit="1" customWidth="1"/>
    <col min="362" max="362" width="13.5703125" bestFit="1" customWidth="1"/>
    <col min="363" max="363" width="10.85546875" bestFit="1" customWidth="1"/>
    <col min="364" max="364" width="14" bestFit="1" customWidth="1"/>
    <col min="365" max="365" width="10.85546875" bestFit="1" customWidth="1"/>
    <col min="366" max="366" width="27.42578125" bestFit="1" customWidth="1"/>
    <col min="367" max="367" width="31.42578125" bestFit="1" customWidth="1"/>
    <col min="368" max="368" width="29.42578125" bestFit="1" customWidth="1"/>
    <col min="369" max="369" width="29.140625" bestFit="1" customWidth="1"/>
    <col min="370" max="370" width="26.28515625" bestFit="1" customWidth="1"/>
    <col min="371" max="371" width="16.42578125" bestFit="1" customWidth="1"/>
    <col min="372" max="372" width="15.85546875" bestFit="1" customWidth="1"/>
    <col min="373" max="373" width="27.140625" bestFit="1" customWidth="1"/>
    <col min="374" max="374" width="17.5703125" bestFit="1" customWidth="1"/>
    <col min="375" max="375" width="18.7109375" bestFit="1" customWidth="1"/>
    <col min="376" max="376" width="16.85546875" bestFit="1" customWidth="1"/>
    <col min="377" max="377" width="16.42578125" bestFit="1" customWidth="1"/>
    <col min="378" max="378" width="14.42578125" bestFit="1" customWidth="1"/>
    <col min="379" max="379" width="20.85546875" bestFit="1" customWidth="1"/>
    <col min="380" max="380" width="16.7109375" bestFit="1" customWidth="1"/>
    <col min="381" max="381" width="9.85546875" bestFit="1" customWidth="1"/>
    <col min="382" max="383" width="13.140625" bestFit="1" customWidth="1"/>
    <col min="384" max="384" width="12.7109375" bestFit="1" customWidth="1"/>
    <col min="385" max="385" width="8.85546875" bestFit="1" customWidth="1"/>
    <col min="386" max="386" width="12.42578125" bestFit="1" customWidth="1"/>
    <col min="387" max="387" width="11.7109375" bestFit="1" customWidth="1"/>
    <col min="388" max="388" width="13.5703125" bestFit="1" customWidth="1"/>
    <col min="389" max="389" width="12.42578125" bestFit="1" customWidth="1"/>
    <col min="390" max="390" width="14" bestFit="1" customWidth="1"/>
    <col min="391" max="391" width="10.85546875" bestFit="1" customWidth="1"/>
    <col min="392" max="392" width="27.42578125" bestFit="1" customWidth="1"/>
    <col min="393" max="393" width="31.42578125" bestFit="1" customWidth="1"/>
    <col min="394" max="394" width="29.42578125" bestFit="1" customWidth="1"/>
    <col min="395" max="395" width="29.140625" bestFit="1" customWidth="1"/>
    <col min="396" max="396" width="24.5703125" bestFit="1" customWidth="1"/>
    <col min="397" max="397" width="26.28515625" bestFit="1" customWidth="1"/>
    <col min="398" max="398" width="16.42578125" bestFit="1" customWidth="1"/>
    <col min="399" max="399" width="15.85546875" bestFit="1" customWidth="1"/>
    <col min="400" max="400" width="27.140625" bestFit="1" customWidth="1"/>
    <col min="401" max="401" width="17.5703125" bestFit="1" customWidth="1"/>
    <col min="402" max="402" width="18.7109375" bestFit="1" customWidth="1"/>
    <col min="403" max="403" width="16.85546875" bestFit="1" customWidth="1"/>
    <col min="404" max="404" width="16.42578125" bestFit="1" customWidth="1"/>
    <col min="405" max="405" width="14.42578125" bestFit="1" customWidth="1"/>
    <col min="406" max="406" width="20.85546875" bestFit="1" customWidth="1"/>
    <col min="407" max="407" width="16.7109375" bestFit="1" customWidth="1"/>
    <col min="408" max="408" width="9.85546875" bestFit="1" customWidth="1"/>
    <col min="409" max="410" width="13.140625" bestFit="1" customWidth="1"/>
    <col min="411" max="411" width="12.7109375" bestFit="1" customWidth="1"/>
    <col min="412" max="412" width="8.85546875" bestFit="1" customWidth="1"/>
    <col min="413" max="413" width="12.42578125" bestFit="1" customWidth="1"/>
    <col min="414" max="414" width="11.140625" bestFit="1" customWidth="1"/>
    <col min="415" max="415" width="13.5703125" bestFit="1" customWidth="1"/>
    <col min="416" max="416" width="10.85546875" bestFit="1" customWidth="1"/>
    <col min="417" max="417" width="14" bestFit="1" customWidth="1"/>
    <col min="418" max="418" width="12.42578125" bestFit="1" customWidth="1"/>
    <col min="419" max="419" width="27.42578125" bestFit="1" customWidth="1"/>
    <col min="420" max="420" width="31.42578125" bestFit="1" customWidth="1"/>
    <col min="421" max="421" width="29.42578125" bestFit="1" customWidth="1"/>
    <col min="422" max="422" width="29.140625" bestFit="1" customWidth="1"/>
    <col min="423" max="423" width="24.5703125" bestFit="1" customWidth="1"/>
    <col min="424" max="424" width="26.28515625" bestFit="1" customWidth="1"/>
    <col min="425" max="425" width="16.42578125" bestFit="1" customWidth="1"/>
    <col min="426" max="426" width="15.85546875" bestFit="1" customWidth="1"/>
    <col min="427" max="427" width="27.140625" bestFit="1" customWidth="1"/>
    <col min="428" max="428" width="17.5703125" bestFit="1" customWidth="1"/>
    <col min="429" max="429" width="18.7109375" bestFit="1" customWidth="1"/>
    <col min="430" max="430" width="16.85546875" bestFit="1" customWidth="1"/>
    <col min="431" max="431" width="16.42578125" bestFit="1" customWidth="1"/>
    <col min="432" max="432" width="14.42578125" bestFit="1" customWidth="1"/>
    <col min="433" max="433" width="20.85546875" bestFit="1" customWidth="1"/>
    <col min="434" max="434" width="16.7109375" bestFit="1" customWidth="1"/>
    <col min="435" max="435" width="9.85546875" bestFit="1" customWidth="1"/>
    <col min="436" max="437" width="13.140625" bestFit="1" customWidth="1"/>
    <col min="438" max="438" width="12.7109375" bestFit="1" customWidth="1"/>
    <col min="439" max="439" width="8.85546875" bestFit="1" customWidth="1"/>
    <col min="440" max="440" width="12.42578125" bestFit="1" customWidth="1"/>
    <col min="441" max="441" width="15.85546875" bestFit="1" customWidth="1"/>
    <col min="442" max="442" width="13.5703125" bestFit="1" customWidth="1"/>
    <col min="443" max="443" width="10.85546875" bestFit="1" customWidth="1"/>
    <col min="444" max="444" width="14" bestFit="1" customWidth="1"/>
    <col min="445" max="445" width="12.42578125" bestFit="1" customWidth="1"/>
    <col min="446" max="446" width="27.42578125" bestFit="1" customWidth="1"/>
    <col min="447" max="447" width="31.42578125" bestFit="1" customWidth="1"/>
    <col min="448" max="448" width="29.42578125" bestFit="1" customWidth="1"/>
    <col min="449" max="449" width="29.140625" bestFit="1" customWidth="1"/>
    <col min="450" max="450" width="24.5703125" bestFit="1" customWidth="1"/>
    <col min="451" max="451" width="26.28515625" bestFit="1" customWidth="1"/>
    <col min="452" max="452" width="16.42578125" bestFit="1" customWidth="1"/>
    <col min="453" max="453" width="15.85546875" bestFit="1" customWidth="1"/>
    <col min="454" max="454" width="27.140625" bestFit="1" customWidth="1"/>
    <col min="455" max="455" width="17.5703125" bestFit="1" customWidth="1"/>
    <col min="456" max="456" width="18.7109375" bestFit="1" customWidth="1"/>
    <col min="457" max="457" width="16.85546875" bestFit="1" customWidth="1"/>
    <col min="458" max="458" width="16.42578125" bestFit="1" customWidth="1"/>
    <col min="459" max="459" width="14.42578125" bestFit="1" customWidth="1"/>
    <col min="460" max="460" width="20.85546875" bestFit="1" customWidth="1"/>
    <col min="461" max="461" width="16.7109375" bestFit="1" customWidth="1"/>
    <col min="462" max="462" width="9.85546875" bestFit="1" customWidth="1"/>
    <col min="463" max="464" width="13.140625" bestFit="1" customWidth="1"/>
    <col min="465" max="465" width="12.7109375" bestFit="1" customWidth="1"/>
    <col min="466" max="466" width="9.85546875" bestFit="1" customWidth="1"/>
    <col min="467" max="467" width="12.42578125" bestFit="1" customWidth="1"/>
    <col min="468" max="469" width="13.5703125" bestFit="1" customWidth="1"/>
    <col min="470" max="470" width="10.85546875" bestFit="1" customWidth="1"/>
    <col min="471" max="471" width="14" bestFit="1" customWidth="1"/>
    <col min="472" max="472" width="12.42578125" bestFit="1" customWidth="1"/>
    <col min="473" max="473" width="27.42578125" bestFit="1" customWidth="1"/>
    <col min="474" max="474" width="31.42578125" bestFit="1" customWidth="1"/>
    <col min="475" max="475" width="29.42578125" bestFit="1" customWidth="1"/>
    <col min="476" max="476" width="29.140625" bestFit="1" customWidth="1"/>
    <col min="477" max="477" width="24.5703125" bestFit="1" customWidth="1"/>
    <col min="478" max="478" width="26.28515625" bestFit="1" customWidth="1"/>
    <col min="479" max="479" width="16.42578125" bestFit="1" customWidth="1"/>
    <col min="480" max="480" width="15.85546875" bestFit="1" customWidth="1"/>
    <col min="481" max="481" width="27.140625" bestFit="1" customWidth="1"/>
    <col min="482" max="482" width="17.5703125" bestFit="1" customWidth="1"/>
    <col min="483" max="483" width="18.7109375" bestFit="1" customWidth="1"/>
    <col min="484" max="484" width="16.85546875" bestFit="1" customWidth="1"/>
    <col min="485" max="485" width="16.42578125" bestFit="1" customWidth="1"/>
    <col min="486" max="486" width="14.42578125" bestFit="1" customWidth="1"/>
    <col min="487" max="487" width="20.85546875" bestFit="1" customWidth="1"/>
    <col min="488" max="488" width="16.7109375" bestFit="1" customWidth="1"/>
    <col min="489" max="489" width="9.85546875" bestFit="1" customWidth="1"/>
    <col min="490" max="491" width="13.140625" bestFit="1" customWidth="1"/>
    <col min="492" max="492" width="12.7109375" bestFit="1" customWidth="1"/>
    <col min="493" max="493" width="12.42578125" bestFit="1" customWidth="1"/>
    <col min="494" max="494" width="16.28515625" bestFit="1" customWidth="1"/>
    <col min="495" max="495" width="12.7109375" bestFit="1" customWidth="1"/>
    <col min="496" max="502" width="10.85546875" bestFit="1" customWidth="1"/>
    <col min="503" max="503" width="16.5703125" bestFit="1" customWidth="1"/>
    <col min="504" max="504" width="14.28515625" bestFit="1" customWidth="1"/>
  </cols>
  <sheetData>
    <row r="1" spans="1:27" x14ac:dyDescent="0.25">
      <c r="A1" s="13" t="s">
        <v>1</v>
      </c>
      <c r="B1" s="13" t="s">
        <v>0</v>
      </c>
      <c r="C1" s="13" t="s">
        <v>76</v>
      </c>
      <c r="D1" s="13" t="s">
        <v>74</v>
      </c>
      <c r="E1" s="13" t="s">
        <v>89</v>
      </c>
      <c r="F1" s="13" t="s">
        <v>73</v>
      </c>
    </row>
    <row r="2" spans="1:27" x14ac:dyDescent="0.25">
      <c r="A2">
        <v>2024</v>
      </c>
      <c r="B2">
        <v>2003100005</v>
      </c>
      <c r="C2" s="4" t="s">
        <v>77</v>
      </c>
      <c r="D2" s="4" t="s">
        <v>13</v>
      </c>
      <c r="E2" t="str">
        <f>_xlfn.XLOOKUP(tActuals_1[[#This Row],[Account]],'Account-Overview'!A:A,'Account-Overview'!B:B)</f>
        <v>Revenue (DE)</v>
      </c>
      <c r="F2" s="10">
        <v>15253265.183500798</v>
      </c>
    </row>
    <row r="3" spans="1:27" x14ac:dyDescent="0.25">
      <c r="A3">
        <v>2024</v>
      </c>
      <c r="B3">
        <v>2003100005</v>
      </c>
      <c r="C3" s="4" t="s">
        <v>78</v>
      </c>
      <c r="D3" s="4" t="s">
        <v>2</v>
      </c>
      <c r="E3" t="str">
        <f>_xlfn.XLOOKUP(tActuals_1[[#This Row],[Account]],'Account-Overview'!A:A,'Account-Overview'!B:B)</f>
        <v>Revenue (DE)</v>
      </c>
      <c r="F3" s="10">
        <v>21088785.627172202</v>
      </c>
    </row>
    <row r="4" spans="1:27" x14ac:dyDescent="0.25">
      <c r="A4">
        <v>2024</v>
      </c>
      <c r="B4">
        <v>2003100005</v>
      </c>
      <c r="C4" s="4" t="s">
        <v>79</v>
      </c>
      <c r="D4" s="4" t="s">
        <v>3</v>
      </c>
      <c r="E4" t="str">
        <f>_xlfn.XLOOKUP(tActuals_1[[#This Row],[Account]],'Account-Overview'!A:A,'Account-Overview'!B:B)</f>
        <v>Revenue (DE)</v>
      </c>
      <c r="F4" s="10">
        <v>28741335.630000003</v>
      </c>
    </row>
    <row r="5" spans="1:27" x14ac:dyDescent="0.25">
      <c r="A5">
        <v>2024</v>
      </c>
      <c r="B5">
        <v>2003100005</v>
      </c>
      <c r="C5" s="4" t="s">
        <v>80</v>
      </c>
      <c r="D5" s="4" t="s">
        <v>4</v>
      </c>
      <c r="E5" t="str">
        <f>_xlfn.XLOOKUP(tActuals_1[[#This Row],[Account]],'Account-Overview'!A:A,'Account-Overview'!B:B)</f>
        <v>Revenue (DE)</v>
      </c>
      <c r="F5" s="10">
        <v>26580932.569999997</v>
      </c>
    </row>
    <row r="6" spans="1:27" x14ac:dyDescent="0.25">
      <c r="A6">
        <v>2024</v>
      </c>
      <c r="B6">
        <v>2003100005</v>
      </c>
      <c r="C6" s="4" t="s">
        <v>81</v>
      </c>
      <c r="D6" s="4" t="s">
        <v>5</v>
      </c>
      <c r="E6" t="str">
        <f>_xlfn.XLOOKUP(tActuals_1[[#This Row],[Account]],'Account-Overview'!A:A,'Account-Overview'!B:B)</f>
        <v>Revenue (DE)</v>
      </c>
      <c r="F6" s="10">
        <v>23988357.32</v>
      </c>
    </row>
    <row r="7" spans="1:27" x14ac:dyDescent="0.25">
      <c r="A7">
        <v>2024</v>
      </c>
      <c r="B7">
        <v>2003100005</v>
      </c>
      <c r="C7" s="4" t="s">
        <v>82</v>
      </c>
      <c r="D7" s="4" t="s">
        <v>6</v>
      </c>
      <c r="E7" t="str">
        <f>_xlfn.XLOOKUP(tActuals_1[[#This Row],[Account]],'Account-Overview'!A:A,'Account-Overview'!B:B)</f>
        <v>Revenue (DE)</v>
      </c>
      <c r="F7" s="10">
        <v>19024409.09</v>
      </c>
    </row>
    <row r="8" spans="1:27" x14ac:dyDescent="0.25">
      <c r="A8">
        <v>2024</v>
      </c>
      <c r="B8">
        <v>2003100005</v>
      </c>
      <c r="C8" s="4" t="s">
        <v>83</v>
      </c>
      <c r="D8" s="4" t="s">
        <v>7</v>
      </c>
      <c r="E8" t="str">
        <f>_xlfn.XLOOKUP(tActuals_1[[#This Row],[Account]],'Account-Overview'!A:A,'Account-Overview'!B:B)</f>
        <v>Revenue (DE)</v>
      </c>
      <c r="F8" s="10">
        <v>14219294.350000001</v>
      </c>
    </row>
    <row r="9" spans="1:27" x14ac:dyDescent="0.25">
      <c r="A9">
        <v>2024</v>
      </c>
      <c r="B9">
        <v>2003100005</v>
      </c>
      <c r="C9" s="4" t="s">
        <v>84</v>
      </c>
      <c r="D9" s="4" t="s">
        <v>8</v>
      </c>
      <c r="E9" t="str">
        <f>_xlfn.XLOOKUP(tActuals_1[[#This Row],[Account]],'Account-Overview'!A:A,'Account-Overview'!B:B)</f>
        <v>Revenue (DE)</v>
      </c>
      <c r="F9" s="10">
        <v>17479568.300000001</v>
      </c>
    </row>
    <row r="10" spans="1:27" x14ac:dyDescent="0.25">
      <c r="A10">
        <v>2024</v>
      </c>
      <c r="B10">
        <v>2003100005</v>
      </c>
      <c r="C10" s="4" t="s">
        <v>85</v>
      </c>
      <c r="D10" s="4" t="s">
        <v>9</v>
      </c>
      <c r="E10" t="str">
        <f>_xlfn.XLOOKUP(tActuals_1[[#This Row],[Account]],'Account-Overview'!A:A,'Account-Overview'!B:B)</f>
        <v>Revenue (DE)</v>
      </c>
      <c r="F10" s="10">
        <v>30454508.600000001</v>
      </c>
      <c r="I10" s="21" t="s">
        <v>105</v>
      </c>
      <c r="J10" s="12" t="s">
        <v>75</v>
      </c>
    </row>
    <row r="11" spans="1:27" x14ac:dyDescent="0.25">
      <c r="A11">
        <v>2024</v>
      </c>
      <c r="B11">
        <v>2003100005</v>
      </c>
      <c r="C11" s="4" t="s">
        <v>86</v>
      </c>
      <c r="D11" s="4" t="s">
        <v>10</v>
      </c>
      <c r="E11" t="str">
        <f>_xlfn.XLOOKUP(tActuals_1[[#This Row],[Account]],'Account-Overview'!A:A,'Account-Overview'!B:B)</f>
        <v>Revenue (DE)</v>
      </c>
      <c r="F11" s="10">
        <v>27409176.349999998</v>
      </c>
      <c r="I11" s="12" t="s">
        <v>106</v>
      </c>
      <c r="J11" t="s">
        <v>77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  <c r="P11" t="s">
        <v>83</v>
      </c>
      <c r="Q11" t="s">
        <v>84</v>
      </c>
      <c r="R11" t="s">
        <v>85</v>
      </c>
      <c r="S11" t="s">
        <v>86</v>
      </c>
      <c r="T11" t="s">
        <v>87</v>
      </c>
      <c r="U11" t="s">
        <v>88</v>
      </c>
      <c r="V11" t="s">
        <v>90</v>
      </c>
      <c r="W11" t="s">
        <v>91</v>
      </c>
      <c r="X11" t="s">
        <v>92</v>
      </c>
      <c r="Y11" t="s">
        <v>93</v>
      </c>
      <c r="Z11" t="s">
        <v>94</v>
      </c>
      <c r="AA11" t="s">
        <v>95</v>
      </c>
    </row>
    <row r="12" spans="1:27" x14ac:dyDescent="0.25">
      <c r="A12">
        <v>2024</v>
      </c>
      <c r="B12">
        <v>2003100005</v>
      </c>
      <c r="C12" s="4" t="s">
        <v>87</v>
      </c>
      <c r="D12" s="4" t="s">
        <v>11</v>
      </c>
      <c r="E12" t="str">
        <f>_xlfn.XLOOKUP(tActuals_1[[#This Row],[Account]],'Account-Overview'!A:A,'Account-Overview'!B:B)</f>
        <v>Revenue (DE)</v>
      </c>
      <c r="F12" s="10">
        <v>29731107.890000001</v>
      </c>
      <c r="I12" s="4" t="s">
        <v>37</v>
      </c>
      <c r="J12" s="10">
        <v>15253265.183500798</v>
      </c>
      <c r="K12" s="10">
        <v>21088785.627172202</v>
      </c>
      <c r="L12" s="10">
        <v>28741335.630000003</v>
      </c>
      <c r="M12" s="10">
        <v>26580932.569999997</v>
      </c>
      <c r="N12" s="10">
        <v>23988357.32</v>
      </c>
      <c r="O12" s="10">
        <v>19024409.09</v>
      </c>
      <c r="P12" s="10">
        <v>14219294.350000001</v>
      </c>
      <c r="Q12" s="10">
        <v>17479568.300000001</v>
      </c>
      <c r="R12" s="10">
        <v>30454508.600000001</v>
      </c>
      <c r="S12" s="10">
        <v>27409176.349999998</v>
      </c>
      <c r="T12" s="10">
        <v>29731107.890000001</v>
      </c>
      <c r="U12" s="10">
        <v>28260518.369999997</v>
      </c>
      <c r="V12" s="10">
        <v>15587141.759999998</v>
      </c>
      <c r="W12" s="10">
        <v>21550395.090000004</v>
      </c>
      <c r="X12" s="10">
        <v>25921509.449999996</v>
      </c>
      <c r="Y12" s="10">
        <v>19150184.419999998</v>
      </c>
      <c r="Z12" s="10">
        <v>20358143.84</v>
      </c>
      <c r="AA12" s="10">
        <v>18521907.539999999</v>
      </c>
    </row>
    <row r="13" spans="1:27" x14ac:dyDescent="0.25">
      <c r="A13">
        <v>2024</v>
      </c>
      <c r="B13">
        <v>2003100005</v>
      </c>
      <c r="C13" s="4" t="s">
        <v>88</v>
      </c>
      <c r="D13" s="4" t="s">
        <v>12</v>
      </c>
      <c r="E13" t="str">
        <f>_xlfn.XLOOKUP(tActuals_1[[#This Row],[Account]],'Account-Overview'!A:A,'Account-Overview'!B:B)</f>
        <v>Revenue (DE)</v>
      </c>
      <c r="F13" s="10">
        <v>28260518.369999997</v>
      </c>
      <c r="I13" s="4" t="s">
        <v>39</v>
      </c>
      <c r="J13" s="10">
        <v>1501984.7344124001</v>
      </c>
      <c r="K13" s="10">
        <v>1151264.0289695999</v>
      </c>
      <c r="L13" s="10">
        <v>1470333.47</v>
      </c>
      <c r="M13" s="10">
        <v>1628563.6500000001</v>
      </c>
      <c r="N13" s="10">
        <v>1562604.23</v>
      </c>
      <c r="O13" s="10">
        <v>1485195.23</v>
      </c>
      <c r="P13" s="10">
        <v>1131820.5599999998</v>
      </c>
      <c r="Q13" s="10">
        <v>821780.29</v>
      </c>
      <c r="R13" s="10">
        <v>1303688.0299999998</v>
      </c>
      <c r="S13" s="10">
        <v>1535434.2</v>
      </c>
      <c r="T13" s="10">
        <v>1544790.7000000002</v>
      </c>
      <c r="U13" s="10">
        <v>1497762.41</v>
      </c>
      <c r="V13" s="10">
        <v>1520904.79</v>
      </c>
      <c r="W13" s="10">
        <v>1165766.1599999999</v>
      </c>
      <c r="X13" s="10">
        <v>1397252.56</v>
      </c>
      <c r="Y13" s="10">
        <v>1562865.42</v>
      </c>
      <c r="Z13" s="10">
        <v>1748359.82</v>
      </c>
      <c r="AA13" s="10">
        <v>1444158.71</v>
      </c>
    </row>
    <row r="14" spans="1:27" x14ac:dyDescent="0.25">
      <c r="A14">
        <v>2024</v>
      </c>
      <c r="B14">
        <v>2003100006</v>
      </c>
      <c r="C14" s="4" t="s">
        <v>77</v>
      </c>
      <c r="D14" s="4" t="s">
        <v>13</v>
      </c>
      <c r="E14" t="str">
        <f>_xlfn.XLOOKUP(tActuals_1[[#This Row],[Account]],'Account-Overview'!A:A,'Account-Overview'!B:B)</f>
        <v>Revenue (PL)</v>
      </c>
      <c r="F14" s="10">
        <v>1147673.5472020002</v>
      </c>
      <c r="I14" s="4" t="s">
        <v>38</v>
      </c>
      <c r="J14" s="10">
        <v>1147673.5472020002</v>
      </c>
      <c r="K14" s="10">
        <v>1358569.75037</v>
      </c>
      <c r="L14" s="10">
        <v>1865549.31</v>
      </c>
      <c r="M14" s="10">
        <v>1798306.99</v>
      </c>
      <c r="N14" s="10">
        <v>1442012.0299999998</v>
      </c>
      <c r="O14" s="10">
        <v>1276426.21</v>
      </c>
      <c r="P14" s="10">
        <v>924149.82000000007</v>
      </c>
      <c r="Q14" s="10">
        <v>1275012.28</v>
      </c>
      <c r="R14" s="10">
        <v>1870121.79</v>
      </c>
      <c r="S14" s="10">
        <v>1872141.15</v>
      </c>
      <c r="T14" s="10">
        <v>2161137.13</v>
      </c>
      <c r="U14" s="10">
        <v>1688403.08</v>
      </c>
      <c r="V14" s="10">
        <v>1162130.4500000002</v>
      </c>
      <c r="W14" s="10">
        <v>1375683.25</v>
      </c>
      <c r="X14" s="10">
        <v>1741665.93</v>
      </c>
      <c r="Y14" s="10">
        <v>1276638.8700000001</v>
      </c>
      <c r="Z14" s="10">
        <v>1297552.5299999998</v>
      </c>
      <c r="AA14" s="10">
        <v>1173863.2000000002</v>
      </c>
    </row>
    <row r="15" spans="1:27" x14ac:dyDescent="0.25">
      <c r="A15">
        <v>2024</v>
      </c>
      <c r="B15">
        <v>2003100006</v>
      </c>
      <c r="C15" s="4" t="s">
        <v>78</v>
      </c>
      <c r="D15" s="4" t="s">
        <v>2</v>
      </c>
      <c r="E15" t="str">
        <f>_xlfn.XLOOKUP(tActuals_1[[#This Row],[Account]],'Account-Overview'!A:A,'Account-Overview'!B:B)</f>
        <v>Revenue (PL)</v>
      </c>
      <c r="F15" s="10">
        <v>1358569.75037</v>
      </c>
      <c r="I15" s="17" t="s">
        <v>96</v>
      </c>
      <c r="J15" s="18">
        <v>17902923.465115197</v>
      </c>
      <c r="K15" s="18">
        <v>23598619.406511802</v>
      </c>
      <c r="L15" s="18">
        <v>32077218.41</v>
      </c>
      <c r="M15" s="18">
        <v>30007803.209999993</v>
      </c>
      <c r="N15" s="18">
        <v>26992973.580000002</v>
      </c>
      <c r="O15" s="18">
        <v>21786030.530000001</v>
      </c>
      <c r="P15" s="18">
        <v>16275264.730000002</v>
      </c>
      <c r="Q15" s="18">
        <v>19576360.870000001</v>
      </c>
      <c r="R15" s="18">
        <v>33628318.420000002</v>
      </c>
      <c r="S15" s="18">
        <v>30816751.699999996</v>
      </c>
      <c r="T15" s="18">
        <v>33437035.719999999</v>
      </c>
      <c r="U15" s="18">
        <v>31446683.859999999</v>
      </c>
      <c r="V15" s="18">
        <v>18270176.999999996</v>
      </c>
      <c r="W15" s="18">
        <v>24091844.500000004</v>
      </c>
      <c r="X15" s="18">
        <v>29060427.939999994</v>
      </c>
      <c r="Y15" s="18">
        <v>21989688.709999997</v>
      </c>
      <c r="Z15" s="18">
        <v>23404056.190000001</v>
      </c>
      <c r="AA15" s="18">
        <v>21139929.449999999</v>
      </c>
    </row>
    <row r="16" spans="1:27" x14ac:dyDescent="0.25">
      <c r="A16">
        <v>2024</v>
      </c>
      <c r="B16">
        <v>2003100006</v>
      </c>
      <c r="C16" s="4" t="s">
        <v>79</v>
      </c>
      <c r="D16" s="4" t="s">
        <v>3</v>
      </c>
      <c r="E16" t="str">
        <f>_xlfn.XLOOKUP(tActuals_1[[#This Row],[Account]],'Account-Overview'!A:A,'Account-Overview'!B:B)</f>
        <v>Revenue (PL)</v>
      </c>
      <c r="F16" s="10">
        <v>1865549.31</v>
      </c>
      <c r="I16" s="4" t="s">
        <v>40</v>
      </c>
      <c r="J16" s="10">
        <v>-9336788.7345072329</v>
      </c>
      <c r="K16" s="10">
        <v>-12888477.307886396</v>
      </c>
      <c r="L16" s="10">
        <v>-17560389.519540392</v>
      </c>
      <c r="M16" s="10">
        <v>-16154015.034733448</v>
      </c>
      <c r="N16" s="10">
        <v>-14572287.713533852</v>
      </c>
      <c r="O16" s="10">
        <v>-11649164.578394977</v>
      </c>
      <c r="P16" s="10">
        <v>-8686540.3381481916</v>
      </c>
      <c r="Q16" s="10">
        <v>-10685746.351340942</v>
      </c>
      <c r="R16" s="10">
        <v>-18480801.116032291</v>
      </c>
      <c r="S16" s="10">
        <v>-16614971.979088241</v>
      </c>
      <c r="T16" s="10">
        <v>-18080349.897248216</v>
      </c>
      <c r="U16" s="10">
        <v>-17253623.790924061</v>
      </c>
      <c r="V16" s="10">
        <v>-9511517.2004292104</v>
      </c>
      <c r="W16" s="10">
        <v>-13135651.094679004</v>
      </c>
      <c r="X16" s="10">
        <v>-15677777.382166883</v>
      </c>
      <c r="Y16" s="10">
        <v>-11529761.10350487</v>
      </c>
      <c r="Z16" s="10">
        <v>-12207980.403199045</v>
      </c>
      <c r="AA16" s="10">
        <v>-11216653.512991706</v>
      </c>
    </row>
    <row r="17" spans="1:27" x14ac:dyDescent="0.25">
      <c r="A17">
        <v>2024</v>
      </c>
      <c r="B17">
        <v>2003100006</v>
      </c>
      <c r="C17" s="4" t="s">
        <v>80</v>
      </c>
      <c r="D17" s="4" t="s">
        <v>4</v>
      </c>
      <c r="E17" t="str">
        <f>_xlfn.XLOOKUP(tActuals_1[[#This Row],[Account]],'Account-Overview'!A:A,'Account-Overview'!B:B)</f>
        <v>Revenue (PL)</v>
      </c>
      <c r="F17" s="10">
        <v>1798306.99</v>
      </c>
      <c r="I17" s="4" t="s">
        <v>42</v>
      </c>
      <c r="J17" s="10">
        <v>-927479.00660414749</v>
      </c>
      <c r="K17" s="10">
        <v>-704715.47410218394</v>
      </c>
      <c r="L17" s="10">
        <v>-891741.66147497704</v>
      </c>
      <c r="M17" s="10">
        <v>-997120.07745444344</v>
      </c>
      <c r="N17" s="10">
        <v>-960150.55309049494</v>
      </c>
      <c r="O17" s="10">
        <v>-920083.11247849581</v>
      </c>
      <c r="P17" s="10">
        <v>-707533.22756387549</v>
      </c>
      <c r="Q17" s="10">
        <v>-510035.97374145529</v>
      </c>
      <c r="R17" s="10">
        <v>-798532.1424569916</v>
      </c>
      <c r="S17" s="10">
        <v>-934751.90993476647</v>
      </c>
      <c r="T17" s="10">
        <v>-940569.68295495713</v>
      </c>
      <c r="U17" s="10">
        <v>-919269.08173384296</v>
      </c>
      <c r="V17" s="10">
        <v>-927464.07947095949</v>
      </c>
      <c r="W17" s="10">
        <v>-705415.86234208697</v>
      </c>
      <c r="X17" s="10">
        <v>-844968.03555313603</v>
      </c>
      <c r="Y17" s="10">
        <v>-951185.12176403822</v>
      </c>
      <c r="Z17" s="10">
        <v>-1063118.2467180912</v>
      </c>
      <c r="AA17" s="10">
        <v>-883462.24840680009</v>
      </c>
    </row>
    <row r="18" spans="1:27" x14ac:dyDescent="0.25">
      <c r="A18">
        <v>2024</v>
      </c>
      <c r="B18">
        <v>2003100006</v>
      </c>
      <c r="C18" s="4" t="s">
        <v>81</v>
      </c>
      <c r="D18" s="4" t="s">
        <v>5</v>
      </c>
      <c r="E18" t="str">
        <f>_xlfn.XLOOKUP(tActuals_1[[#This Row],[Account]],'Account-Overview'!A:A,'Account-Overview'!B:B)</f>
        <v>Revenue (PL)</v>
      </c>
      <c r="F18" s="10">
        <v>1442012.0299999998</v>
      </c>
      <c r="I18" s="4" t="s">
        <v>41</v>
      </c>
      <c r="J18" s="10">
        <v>-723645.01494004123</v>
      </c>
      <c r="K18" s="10">
        <v>-851880.0874124564</v>
      </c>
      <c r="L18" s="10">
        <v>-1172064.4363036081</v>
      </c>
      <c r="M18" s="10">
        <v>-1119928.4824158766</v>
      </c>
      <c r="N18" s="10">
        <v>-903671.5366455121</v>
      </c>
      <c r="O18" s="10">
        <v>-811095.8285900976</v>
      </c>
      <c r="P18" s="10">
        <v>-590189.53394671693</v>
      </c>
      <c r="Q18" s="10">
        <v>-805823.52410282835</v>
      </c>
      <c r="R18" s="10">
        <v>-1178510.9915419267</v>
      </c>
      <c r="S18" s="10">
        <v>-1166665.5965778399</v>
      </c>
      <c r="T18" s="10">
        <v>-1349251.958093368</v>
      </c>
      <c r="U18" s="10">
        <v>-1055502.7897308101</v>
      </c>
      <c r="V18" s="10">
        <v>-729894.78932666406</v>
      </c>
      <c r="W18" s="10">
        <v>-860147.62850186089</v>
      </c>
      <c r="X18" s="10">
        <v>-1085322.4078376205</v>
      </c>
      <c r="Y18" s="10">
        <v>-790838.16351295868</v>
      </c>
      <c r="Z18" s="10">
        <v>-806592.5920911869</v>
      </c>
      <c r="AA18" s="10">
        <v>-734792.92918374401</v>
      </c>
    </row>
    <row r="19" spans="1:27" x14ac:dyDescent="0.25">
      <c r="A19">
        <v>2024</v>
      </c>
      <c r="B19">
        <v>2003100006</v>
      </c>
      <c r="C19" s="4" t="s">
        <v>82</v>
      </c>
      <c r="D19" s="4" t="s">
        <v>6</v>
      </c>
      <c r="E19" t="str">
        <f>_xlfn.XLOOKUP(tActuals_1[[#This Row],[Account]],'Account-Overview'!A:A,'Account-Overview'!B:B)</f>
        <v>Revenue (PL)</v>
      </c>
      <c r="F19" s="10">
        <v>1276426.21</v>
      </c>
      <c r="I19" s="4" t="s">
        <v>43</v>
      </c>
      <c r="J19" s="10">
        <v>-11398.766246217199</v>
      </c>
      <c r="K19" s="10">
        <v>-8839.5312757342381</v>
      </c>
      <c r="L19" s="10">
        <v>-11413.751431754767</v>
      </c>
      <c r="M19" s="10">
        <v>-12483.943369729634</v>
      </c>
      <c r="N19" s="10">
        <v>-11682.298274725941</v>
      </c>
      <c r="O19" s="10">
        <v>-11405.38670121858</v>
      </c>
      <c r="P19" s="10">
        <v>-8858.3160090997208</v>
      </c>
      <c r="Q19" s="10">
        <v>-6168.2206145791097</v>
      </c>
      <c r="R19" s="10">
        <v>-9898.6360629322153</v>
      </c>
      <c r="S19" s="10">
        <v>-11587.221695428991</v>
      </c>
      <c r="T19" s="10">
        <v>-11659.33904019412</v>
      </c>
      <c r="U19" s="10">
        <v>-11282.471231553485</v>
      </c>
      <c r="V19" s="10">
        <v>-11611.850274976412</v>
      </c>
      <c r="W19" s="10">
        <v>-8922.8193539330478</v>
      </c>
      <c r="X19" s="10">
        <v>-10794.897760331902</v>
      </c>
      <c r="Y19" s="10">
        <v>-12371.126846267103</v>
      </c>
      <c r="Z19" s="10">
        <v>-13693.74107909236</v>
      </c>
      <c r="AA19" s="10">
        <v>-11170.573158653138</v>
      </c>
    </row>
    <row r="20" spans="1:27" x14ac:dyDescent="0.25">
      <c r="A20">
        <v>2024</v>
      </c>
      <c r="B20">
        <v>2003100006</v>
      </c>
      <c r="C20" s="4" t="s">
        <v>83</v>
      </c>
      <c r="D20" s="4" t="s">
        <v>7</v>
      </c>
      <c r="E20" t="str">
        <f>_xlfn.XLOOKUP(tActuals_1[[#This Row],[Account]],'Account-Overview'!A:A,'Account-Overview'!B:B)</f>
        <v>Revenue (PL)</v>
      </c>
      <c r="F20" s="10">
        <v>924149.82000000007</v>
      </c>
      <c r="I20" s="17" t="s">
        <v>15</v>
      </c>
      <c r="J20" s="18">
        <v>-10999311.522297639</v>
      </c>
      <c r="K20" s="18">
        <v>-14453912.40067677</v>
      </c>
      <c r="L20" s="18">
        <v>-19635609.368750732</v>
      </c>
      <c r="M20" s="18">
        <v>-18283547.537973501</v>
      </c>
      <c r="N20" s="18">
        <v>-16447792.101544585</v>
      </c>
      <c r="O20" s="18">
        <v>-13391748.90616479</v>
      </c>
      <c r="P20" s="18">
        <v>-9993121.4156678841</v>
      </c>
      <c r="Q20" s="18">
        <v>-12007774.069799803</v>
      </c>
      <c r="R20" s="18">
        <v>-20467742.886094138</v>
      </c>
      <c r="S20" s="18">
        <v>-18727976.707296275</v>
      </c>
      <c r="T20" s="18">
        <v>-20381830.877336733</v>
      </c>
      <c r="U20" s="18">
        <v>-19239678.133620266</v>
      </c>
      <c r="V20" s="18">
        <v>-11180487.919501811</v>
      </c>
      <c r="W20" s="18">
        <v>-14710137.404876884</v>
      </c>
      <c r="X20" s="18">
        <v>-17618862.723317973</v>
      </c>
      <c r="Y20" s="18">
        <v>-13284155.515628133</v>
      </c>
      <c r="Z20" s="18">
        <v>-14091384.983087417</v>
      </c>
      <c r="AA20" s="18">
        <v>-12846079.263740903</v>
      </c>
    </row>
    <row r="21" spans="1:27" x14ac:dyDescent="0.25">
      <c r="A21">
        <v>2024</v>
      </c>
      <c r="B21">
        <v>2003100006</v>
      </c>
      <c r="C21" s="4" t="s">
        <v>84</v>
      </c>
      <c r="D21" s="4" t="s">
        <v>8</v>
      </c>
      <c r="E21" t="str">
        <f>_xlfn.XLOOKUP(tActuals_1[[#This Row],[Account]],'Account-Overview'!A:A,'Account-Overview'!B:B)</f>
        <v>Revenue (PL)</v>
      </c>
      <c r="F21" s="10">
        <v>1275012.28</v>
      </c>
      <c r="I21" s="17" t="s">
        <v>97</v>
      </c>
      <c r="J21" s="18">
        <v>6903611.9428175576</v>
      </c>
      <c r="K21" s="18">
        <v>9144707.0058350321</v>
      </c>
      <c r="L21" s="18">
        <v>12441609.041249268</v>
      </c>
      <c r="M21" s="18">
        <v>11724255.672026493</v>
      </c>
      <c r="N21" s="18">
        <v>10545181.478455417</v>
      </c>
      <c r="O21" s="18">
        <v>8394281.6238352116</v>
      </c>
      <c r="P21" s="18">
        <v>6282143.3143321183</v>
      </c>
      <c r="Q21" s="18">
        <v>7568586.8002001978</v>
      </c>
      <c r="R21" s="18">
        <v>13160575.533905864</v>
      </c>
      <c r="S21" s="18">
        <v>12088774.992703721</v>
      </c>
      <c r="T21" s="18">
        <v>13055204.842663266</v>
      </c>
      <c r="U21" s="18">
        <v>12207005.726379734</v>
      </c>
      <c r="V21" s="18">
        <v>7089689.080498185</v>
      </c>
      <c r="W21" s="18">
        <v>9381707.0951231197</v>
      </c>
      <c r="X21" s="18">
        <v>11441565.216682021</v>
      </c>
      <c r="Y21" s="18">
        <v>8705533.1943718642</v>
      </c>
      <c r="Z21" s="18">
        <v>9312671.2069125846</v>
      </c>
      <c r="AA21" s="18">
        <v>8293850.1862590965</v>
      </c>
    </row>
    <row r="22" spans="1:27" x14ac:dyDescent="0.25">
      <c r="A22">
        <v>2024</v>
      </c>
      <c r="B22">
        <v>2003100006</v>
      </c>
      <c r="C22" s="4" t="s">
        <v>85</v>
      </c>
      <c r="D22" s="4" t="s">
        <v>9</v>
      </c>
      <c r="E22" t="str">
        <f>_xlfn.XLOOKUP(tActuals_1[[#This Row],[Account]],'Account-Overview'!A:A,'Account-Overview'!B:B)</f>
        <v>Revenue (PL)</v>
      </c>
      <c r="F22" s="10">
        <v>1870121.79</v>
      </c>
      <c r="I22" s="4" t="s">
        <v>53</v>
      </c>
      <c r="J22" s="10">
        <v>-67059.167186793871</v>
      </c>
      <c r="K22" s="10">
        <v>-87119.241687380854</v>
      </c>
      <c r="L22" s="10">
        <v>-123829.24404732311</v>
      </c>
      <c r="M22" s="10">
        <v>-118127.48462381828</v>
      </c>
      <c r="N22" s="10">
        <v>-111368.19520867856</v>
      </c>
      <c r="O22" s="10">
        <v>-89145.294525000019</v>
      </c>
      <c r="P22" s="10">
        <v>-65228.702607886691</v>
      </c>
      <c r="Q22" s="10">
        <v>-72627.05919597407</v>
      </c>
      <c r="R22" s="10">
        <v>-113058.288</v>
      </c>
      <c r="S22" s="10">
        <v>-120163.84583953067</v>
      </c>
      <c r="T22" s="10">
        <v>-120876.87312739773</v>
      </c>
      <c r="U22" s="10">
        <v>-106978.35630500953</v>
      </c>
      <c r="V22" s="10">
        <v>-74250.497054608073</v>
      </c>
      <c r="W22" s="10">
        <v>-90525.201571920741</v>
      </c>
      <c r="X22" s="10">
        <v>-120810.01492454309</v>
      </c>
      <c r="Y22" s="10">
        <v>-111996.59830255566</v>
      </c>
      <c r="Z22" s="10">
        <v>-114779.62223885756</v>
      </c>
      <c r="AA22" s="10">
        <v>-104151.2659339878</v>
      </c>
    </row>
    <row r="23" spans="1:27" x14ac:dyDescent="0.25">
      <c r="A23">
        <v>2024</v>
      </c>
      <c r="B23">
        <v>2003100006</v>
      </c>
      <c r="C23" s="4" t="s">
        <v>86</v>
      </c>
      <c r="D23" s="4" t="s">
        <v>10</v>
      </c>
      <c r="E23" t="str">
        <f>_xlfn.XLOOKUP(tActuals_1[[#This Row],[Account]],'Account-Overview'!A:A,'Account-Overview'!B:B)</f>
        <v>Revenue (PL)</v>
      </c>
      <c r="F23" s="10">
        <v>1872141.15</v>
      </c>
      <c r="I23" s="4" t="s">
        <v>29</v>
      </c>
      <c r="J23" s="10">
        <v>-317875.15393591078</v>
      </c>
      <c r="K23" s="10">
        <v>-409768.75901953521</v>
      </c>
      <c r="L23" s="10">
        <v>-568307.7391289206</v>
      </c>
      <c r="M23" s="10">
        <v>-511261.6976856743</v>
      </c>
      <c r="N23" s="10">
        <v>-467668.52780748886</v>
      </c>
      <c r="O23" s="10">
        <v>-381856.68402023375</v>
      </c>
      <c r="P23" s="10">
        <v>-285451.89651801134</v>
      </c>
      <c r="Q23" s="10">
        <v>-344870.89313454035</v>
      </c>
      <c r="R23" s="10">
        <v>-596806.46392799029</v>
      </c>
      <c r="S23" s="10">
        <v>-546218.24839118612</v>
      </c>
      <c r="T23" s="10">
        <v>-589848.29245393933</v>
      </c>
      <c r="U23" s="10">
        <v>-565735.57611375523</v>
      </c>
      <c r="V23" s="10">
        <v>-329966.84307302831</v>
      </c>
      <c r="W23" s="10">
        <v>-444477.28743122064</v>
      </c>
      <c r="X23" s="10">
        <v>-530386.95979647711</v>
      </c>
      <c r="Y23" s="10">
        <v>-380806.02657311741</v>
      </c>
      <c r="Z23" s="10">
        <v>-409564.1491219647</v>
      </c>
      <c r="AA23" s="10">
        <v>-367756.22248826141</v>
      </c>
    </row>
    <row r="24" spans="1:27" x14ac:dyDescent="0.25">
      <c r="A24">
        <v>2024</v>
      </c>
      <c r="B24">
        <v>2003100006</v>
      </c>
      <c r="C24" s="4" t="s">
        <v>87</v>
      </c>
      <c r="D24" s="4" t="s">
        <v>11</v>
      </c>
      <c r="E24" t="str">
        <f>_xlfn.XLOOKUP(tActuals_1[[#This Row],[Account]],'Account-Overview'!A:A,'Account-Overview'!B:B)</f>
        <v>Revenue (PL)</v>
      </c>
      <c r="F24" s="10">
        <v>2161137.13</v>
      </c>
      <c r="I24" s="15" t="s">
        <v>107</v>
      </c>
      <c r="J24" s="16">
        <v>-384934.32112270466</v>
      </c>
      <c r="K24" s="16">
        <v>-496888.00070691609</v>
      </c>
      <c r="L24" s="16">
        <v>-692136.98317624372</v>
      </c>
      <c r="M24" s="16">
        <v>-629389.18230949261</v>
      </c>
      <c r="N24" s="16">
        <v>-579036.72301616741</v>
      </c>
      <c r="O24" s="16">
        <v>-471001.97854523378</v>
      </c>
      <c r="P24" s="16">
        <v>-350680.59912589804</v>
      </c>
      <c r="Q24" s="16">
        <v>-417497.95233051444</v>
      </c>
      <c r="R24" s="16">
        <v>-709864.75192799023</v>
      </c>
      <c r="S24" s="16">
        <v>-666382.09423071682</v>
      </c>
      <c r="T24" s="16">
        <v>-710725.16558133706</v>
      </c>
      <c r="U24" s="16">
        <v>-672713.9324187648</v>
      </c>
      <c r="V24" s="16">
        <v>-404217.34012763639</v>
      </c>
      <c r="W24" s="16">
        <v>-535002.48900314141</v>
      </c>
      <c r="X24" s="16">
        <v>-651196.9747210202</v>
      </c>
      <c r="Y24" s="16">
        <v>-492802.62487567309</v>
      </c>
      <c r="Z24" s="16">
        <v>-524343.77136082225</v>
      </c>
      <c r="AA24" s="16">
        <v>-471907.48842224921</v>
      </c>
    </row>
    <row r="25" spans="1:27" x14ac:dyDescent="0.25">
      <c r="A25">
        <v>2024</v>
      </c>
      <c r="B25">
        <v>2003100006</v>
      </c>
      <c r="C25" s="4" t="s">
        <v>88</v>
      </c>
      <c r="D25" s="4" t="s">
        <v>12</v>
      </c>
      <c r="E25" t="str">
        <f>_xlfn.XLOOKUP(tActuals_1[[#This Row],[Account]],'Account-Overview'!A:A,'Account-Overview'!B:B)</f>
        <v>Revenue (PL)</v>
      </c>
      <c r="F25" s="10">
        <v>1688403.08</v>
      </c>
      <c r="I25" s="15" t="s">
        <v>109</v>
      </c>
      <c r="J25" s="16">
        <v>-1470207.5748717913</v>
      </c>
      <c r="K25" s="16">
        <v>-1932725.4307341292</v>
      </c>
      <c r="L25" s="16">
        <v>-2446516.2337589473</v>
      </c>
      <c r="M25" s="16">
        <v>-2307060.6568676503</v>
      </c>
      <c r="N25" s="16">
        <v>-2092614.7626787613</v>
      </c>
      <c r="O25" s="16">
        <v>-1618297.103107024</v>
      </c>
      <c r="P25" s="16">
        <v>-1227654.3623487127</v>
      </c>
      <c r="Q25" s="16">
        <v>-1435278.968607926</v>
      </c>
      <c r="R25" s="16">
        <v>-2829668.0311388834</v>
      </c>
      <c r="S25" s="16">
        <v>-2625300.9409412681</v>
      </c>
      <c r="T25" s="16">
        <v>-2833429.9650960444</v>
      </c>
      <c r="U25" s="16">
        <v>-2614443.6068102433</v>
      </c>
      <c r="V25" s="16">
        <v>-1830023.9135537171</v>
      </c>
      <c r="W25" s="16">
        <v>-2405737.6774740806</v>
      </c>
      <c r="X25" s="16">
        <v>-2768479.8280276647</v>
      </c>
      <c r="Y25" s="16">
        <v>-2084666.5777848272</v>
      </c>
      <c r="Z25" s="16">
        <v>-2202174.6291354145</v>
      </c>
      <c r="AA25" s="16">
        <v>-1982751.8174181338</v>
      </c>
    </row>
    <row r="26" spans="1:27" x14ac:dyDescent="0.25">
      <c r="A26">
        <v>2024</v>
      </c>
      <c r="B26">
        <v>2003100007</v>
      </c>
      <c r="C26" s="4" t="s">
        <v>77</v>
      </c>
      <c r="D26" s="4" t="s">
        <v>13</v>
      </c>
      <c r="E26" t="str">
        <f>_xlfn.XLOOKUP(tActuals_1[[#This Row],[Account]],'Account-Overview'!A:A,'Account-Overview'!B:B)</f>
        <v>Revenue (NL)</v>
      </c>
      <c r="F26" s="10">
        <v>1501984.7344124001</v>
      </c>
      <c r="I26" s="4" t="s">
        <v>52</v>
      </c>
      <c r="J26" s="10">
        <v>-2543367.9942725478</v>
      </c>
      <c r="K26" s="10">
        <v>-3367126.0614075279</v>
      </c>
      <c r="L26" s="10">
        <v>-4541273.1791659035</v>
      </c>
      <c r="M26" s="10">
        <v>-4159371.2398202647</v>
      </c>
      <c r="N26" s="10">
        <v>-3748647.2542714346</v>
      </c>
      <c r="O26" s="10">
        <v>-2917515.752655949</v>
      </c>
      <c r="P26" s="10">
        <v>-2140880.4458391913</v>
      </c>
      <c r="Q26" s="10">
        <v>-2608054.5929596364</v>
      </c>
      <c r="R26" s="10">
        <v>-4996800.533738289</v>
      </c>
      <c r="S26" s="10">
        <v>-4648491.5434395829</v>
      </c>
      <c r="T26" s="10">
        <v>-4971882.1149100009</v>
      </c>
      <c r="U26" s="10">
        <v>-4596069.2711621691</v>
      </c>
      <c r="V26" s="10">
        <v>-2778072.4982260326</v>
      </c>
      <c r="W26" s="10">
        <v>-3677847.7712706476</v>
      </c>
      <c r="X26" s="10">
        <v>-4284234.8750721337</v>
      </c>
      <c r="Y26" s="10">
        <v>-3178369.075623937</v>
      </c>
      <c r="Z26" s="10">
        <v>-3385070.5480162837</v>
      </c>
      <c r="AA26" s="10">
        <v>-3050680.7288258751</v>
      </c>
    </row>
    <row r="27" spans="1:27" x14ac:dyDescent="0.25">
      <c r="A27">
        <v>2024</v>
      </c>
      <c r="B27">
        <v>2003100007</v>
      </c>
      <c r="C27" s="4" t="s">
        <v>78</v>
      </c>
      <c r="D27" s="4" t="s">
        <v>2</v>
      </c>
      <c r="E27" t="str">
        <f>_xlfn.XLOOKUP(tActuals_1[[#This Row],[Account]],'Account-Overview'!A:A,'Account-Overview'!B:B)</f>
        <v>Revenue (NL)</v>
      </c>
      <c r="F27" s="10">
        <v>1151264.0289695999</v>
      </c>
      <c r="I27" s="4" t="s">
        <v>54</v>
      </c>
      <c r="J27" s="10">
        <v>-154319.04551857413</v>
      </c>
      <c r="K27" s="10">
        <v>-138813.11712647995</v>
      </c>
      <c r="L27" s="10">
        <v>-181299.37930454346</v>
      </c>
      <c r="M27" s="10">
        <v>-177292.37985036781</v>
      </c>
      <c r="N27" s="10">
        <v>-165542.04224487388</v>
      </c>
      <c r="O27" s="10">
        <v>-180245.45721077503</v>
      </c>
      <c r="P27" s="10">
        <v>-147634.98828176677</v>
      </c>
      <c r="Q27" s="10">
        <v>-106385.89161922825</v>
      </c>
      <c r="R27" s="10">
        <v>-134150.11548120002</v>
      </c>
      <c r="S27" s="10">
        <v>-155344.32453843046</v>
      </c>
      <c r="T27" s="10">
        <v>-184420.57522695707</v>
      </c>
      <c r="U27" s="10">
        <v>-175151.39560348619</v>
      </c>
      <c r="V27" s="10">
        <v>-156074.8880086717</v>
      </c>
      <c r="W27" s="10">
        <v>-140392.53312412635</v>
      </c>
      <c r="X27" s="10">
        <v>-180733.35611055975</v>
      </c>
      <c r="Y27" s="10">
        <v>-163355.03418914252</v>
      </c>
      <c r="Z27" s="10">
        <v>-185825.34447021439</v>
      </c>
      <c r="AA27" s="10">
        <v>-148540.53177824614</v>
      </c>
    </row>
    <row r="28" spans="1:27" x14ac:dyDescent="0.25">
      <c r="A28">
        <v>2024</v>
      </c>
      <c r="B28">
        <v>2003100007</v>
      </c>
      <c r="C28" s="4" t="s">
        <v>79</v>
      </c>
      <c r="D28" s="4" t="s">
        <v>3</v>
      </c>
      <c r="E28" t="str">
        <f>_xlfn.XLOOKUP(tActuals_1[[#This Row],[Account]],'Account-Overview'!A:A,'Account-Overview'!B:B)</f>
        <v>Revenue (NL)</v>
      </c>
      <c r="F28" s="10">
        <v>1470333.47</v>
      </c>
      <c r="I28" s="15" t="s">
        <v>108</v>
      </c>
      <c r="J28" s="16">
        <v>-2697687.0397911221</v>
      </c>
      <c r="K28" s="16">
        <v>-3505939.1785340076</v>
      </c>
      <c r="L28" s="16">
        <v>-4722572.5584704466</v>
      </c>
      <c r="M28" s="16">
        <v>-4336663.6196706323</v>
      </c>
      <c r="N28" s="16">
        <v>-3914189.2965163086</v>
      </c>
      <c r="O28" s="16">
        <v>-3097761.209866724</v>
      </c>
      <c r="P28" s="16">
        <v>-2288515.4341209582</v>
      </c>
      <c r="Q28" s="16">
        <v>-2714440.4845788646</v>
      </c>
      <c r="R28" s="16">
        <v>-5130950.6492194887</v>
      </c>
      <c r="S28" s="16">
        <v>-4803835.8679780131</v>
      </c>
      <c r="T28" s="16">
        <v>-5156302.6901369579</v>
      </c>
      <c r="U28" s="16">
        <v>-4771220.6667656554</v>
      </c>
      <c r="V28" s="16">
        <v>-2934147.3862347044</v>
      </c>
      <c r="W28" s="16">
        <v>-3818240.3043947741</v>
      </c>
      <c r="X28" s="16">
        <v>-4464968.2311826935</v>
      </c>
      <c r="Y28" s="16">
        <v>-3341724.1098130792</v>
      </c>
      <c r="Z28" s="16">
        <v>-3570895.8924864982</v>
      </c>
      <c r="AA28" s="16">
        <v>-3199221.2606041213</v>
      </c>
    </row>
    <row r="29" spans="1:27" x14ac:dyDescent="0.25">
      <c r="A29">
        <v>2024</v>
      </c>
      <c r="B29">
        <v>2003100007</v>
      </c>
      <c r="C29" s="4" t="s">
        <v>80</v>
      </c>
      <c r="D29" s="4" t="s">
        <v>4</v>
      </c>
      <c r="E29" t="str">
        <f>_xlfn.XLOOKUP(tActuals_1[[#This Row],[Account]],'Account-Overview'!A:A,'Account-Overview'!B:B)</f>
        <v>Revenue (NL)</v>
      </c>
      <c r="F29" s="10">
        <v>1628563.6500000001</v>
      </c>
      <c r="I29" s="17" t="s">
        <v>98</v>
      </c>
      <c r="J29" s="18">
        <v>-4552828.9357856186</v>
      </c>
      <c r="K29" s="18">
        <v>-5935552.609975053</v>
      </c>
      <c r="L29" s="18">
        <v>-7861225.7754056379</v>
      </c>
      <c r="M29" s="18">
        <v>-7273113.4588477751</v>
      </c>
      <c r="N29" s="18">
        <v>-6585840.7822112367</v>
      </c>
      <c r="O29" s="18">
        <v>-5187060.2915189825</v>
      </c>
      <c r="P29" s="18">
        <v>-3866850.3955955692</v>
      </c>
      <c r="Q29" s="18">
        <v>-4567217.4055173043</v>
      </c>
      <c r="R29" s="18">
        <v>-8670483.4322863612</v>
      </c>
      <c r="S29" s="18">
        <v>-8095518.9031499978</v>
      </c>
      <c r="T29" s="18">
        <v>-8700457.8208143394</v>
      </c>
      <c r="U29" s="18">
        <v>-8058378.2059946638</v>
      </c>
      <c r="V29" s="18">
        <v>-5168388.6399160577</v>
      </c>
      <c r="W29" s="18">
        <v>-6758980.4708719961</v>
      </c>
      <c r="X29" s="18">
        <v>-7884645.0339313783</v>
      </c>
      <c r="Y29" s="18">
        <v>-5919193.3124735793</v>
      </c>
      <c r="Z29" s="18">
        <v>-6297414.2929827347</v>
      </c>
      <c r="AA29" s="18">
        <v>-5653880.566444505</v>
      </c>
    </row>
    <row r="30" spans="1:27" x14ac:dyDescent="0.25">
      <c r="A30">
        <v>2024</v>
      </c>
      <c r="B30">
        <v>2003100007</v>
      </c>
      <c r="C30" s="4" t="s">
        <v>81</v>
      </c>
      <c r="D30" s="4" t="s">
        <v>5</v>
      </c>
      <c r="E30" t="str">
        <f>_xlfn.XLOOKUP(tActuals_1[[#This Row],[Account]],'Account-Overview'!A:A,'Account-Overview'!B:B)</f>
        <v>Revenue (NL)</v>
      </c>
      <c r="F30" s="10">
        <v>1562604.23</v>
      </c>
      <c r="I30" s="17" t="s">
        <v>99</v>
      </c>
      <c r="J30" s="18">
        <v>2350783.007031939</v>
      </c>
      <c r="K30" s="18">
        <v>3209154.3958599791</v>
      </c>
      <c r="L30" s="18">
        <v>4580383.2658436298</v>
      </c>
      <c r="M30" s="18">
        <v>4451142.2131787175</v>
      </c>
      <c r="N30" s="18">
        <v>3959340.6962441802</v>
      </c>
      <c r="O30" s="18">
        <v>3207221.3323162291</v>
      </c>
      <c r="P30" s="18">
        <v>2415292.9187365491</v>
      </c>
      <c r="Q30" s="18">
        <v>3001369.3946828935</v>
      </c>
      <c r="R30" s="18">
        <v>4490092.1016195025</v>
      </c>
      <c r="S30" s="18">
        <v>3993256.0895537231</v>
      </c>
      <c r="T30" s="18">
        <v>4354747.0218489263</v>
      </c>
      <c r="U30" s="18">
        <v>4148627.5203850698</v>
      </c>
      <c r="V30" s="18">
        <v>1921300.4405821273</v>
      </c>
      <c r="W30" s="18">
        <v>2622726.6242511235</v>
      </c>
      <c r="X30" s="18">
        <v>3556920.1827506423</v>
      </c>
      <c r="Y30" s="18">
        <v>2786339.8818982849</v>
      </c>
      <c r="Z30" s="18">
        <v>3015256.9139298499</v>
      </c>
      <c r="AA30" s="18">
        <v>2639969.6198145915</v>
      </c>
    </row>
    <row r="31" spans="1:27" x14ac:dyDescent="0.25">
      <c r="A31">
        <v>2024</v>
      </c>
      <c r="B31">
        <v>2003100007</v>
      </c>
      <c r="C31" s="4" t="s">
        <v>82</v>
      </c>
      <c r="D31" s="4" t="s">
        <v>6</v>
      </c>
      <c r="E31" t="str">
        <f>_xlfn.XLOOKUP(tActuals_1[[#This Row],[Account]],'Account-Overview'!A:A,'Account-Overview'!B:B)</f>
        <v>Revenue (NL)</v>
      </c>
      <c r="F31" s="10">
        <v>1485195.23</v>
      </c>
      <c r="I31" s="4" t="s">
        <v>30</v>
      </c>
      <c r="J31" s="10">
        <v>-407.01102750000007</v>
      </c>
      <c r="K31" s="10">
        <v>-429.9827298921</v>
      </c>
      <c r="L31" s="10">
        <v>-15309.256958587517</v>
      </c>
      <c r="M31" s="10">
        <v>-582.63859500000012</v>
      </c>
      <c r="N31" s="10">
        <v>-637.2573900000001</v>
      </c>
      <c r="O31" s="10">
        <v>-9051.0420000000013</v>
      </c>
      <c r="P31" s="10">
        <v>-379.34589</v>
      </c>
      <c r="Q31" s="10">
        <v>-890.07291450000002</v>
      </c>
      <c r="R31" s="10">
        <v>-26666.753190000007</v>
      </c>
      <c r="S31" s="10">
        <v>-527.99439000000007</v>
      </c>
      <c r="T31" s="10">
        <v>-441.87990000000008</v>
      </c>
      <c r="U31" s="10">
        <v>-89019.466333875011</v>
      </c>
      <c r="V31" s="10">
        <v>-415.55055742033682</v>
      </c>
      <c r="W31" s="10">
        <v>-434.61418857232928</v>
      </c>
      <c r="X31" s="10">
        <v>-20457.160535096336</v>
      </c>
      <c r="Y31" s="10">
        <v>-769.53963193034656</v>
      </c>
      <c r="Z31" s="10">
        <v>-580.92697704545765</v>
      </c>
      <c r="AA31" s="10">
        <v>-8439.6192744227756</v>
      </c>
    </row>
    <row r="32" spans="1:27" x14ac:dyDescent="0.25">
      <c r="A32">
        <v>2024</v>
      </c>
      <c r="B32">
        <v>2003100007</v>
      </c>
      <c r="C32" s="4" t="s">
        <v>83</v>
      </c>
      <c r="D32" s="4" t="s">
        <v>7</v>
      </c>
      <c r="E32" t="str">
        <f>_xlfn.XLOOKUP(tActuals_1[[#This Row],[Account]],'Account-Overview'!A:A,'Account-Overview'!B:B)</f>
        <v>Revenue (NL)</v>
      </c>
      <c r="F32" s="10">
        <v>1131820.5599999998</v>
      </c>
      <c r="I32" s="4" t="s">
        <v>48</v>
      </c>
      <c r="J32" s="10">
        <v>-1523819.5431297973</v>
      </c>
      <c r="K32" s="10">
        <v>-1531111.157527446</v>
      </c>
      <c r="L32" s="10">
        <v>-1521637.4677494406</v>
      </c>
      <c r="M32" s="10">
        <v>-1512990.6429420649</v>
      </c>
      <c r="N32" s="10">
        <v>-1508750.0401583889</v>
      </c>
      <c r="O32" s="10">
        <v>-1508440.1684676786</v>
      </c>
      <c r="P32" s="10">
        <v>-1507887.838324459</v>
      </c>
      <c r="Q32" s="10">
        <v>-1511575.2885234079</v>
      </c>
      <c r="R32" s="10">
        <v>-1540696.4491838852</v>
      </c>
      <c r="S32" s="10">
        <v>-1547838.7569218581</v>
      </c>
      <c r="T32" s="10">
        <v>-1548569.43552806</v>
      </c>
      <c r="U32" s="10">
        <v>-1550788.6754879931</v>
      </c>
      <c r="V32" s="10">
        <v>-1542025.3909785931</v>
      </c>
      <c r="W32" s="10">
        <v>-1561231.0370585187</v>
      </c>
      <c r="X32" s="10">
        <v>-1543421.3917061251</v>
      </c>
      <c r="Y32" s="10">
        <v>-1559364.2245044285</v>
      </c>
      <c r="Z32" s="10">
        <v>-1549069.9559610896</v>
      </c>
      <c r="AA32" s="10">
        <v>-1552312.410868014</v>
      </c>
    </row>
    <row r="33" spans="1:27" x14ac:dyDescent="0.25">
      <c r="A33">
        <v>2024</v>
      </c>
      <c r="B33">
        <v>2003100007</v>
      </c>
      <c r="C33" s="4" t="s">
        <v>84</v>
      </c>
      <c r="D33" s="4" t="s">
        <v>8</v>
      </c>
      <c r="E33" t="str">
        <f>_xlfn.XLOOKUP(tActuals_1[[#This Row],[Account]],'Account-Overview'!A:A,'Account-Overview'!B:B)</f>
        <v>Revenue (NL)</v>
      </c>
      <c r="F33" s="10">
        <v>821780.29</v>
      </c>
      <c r="I33" s="4" t="s">
        <v>31</v>
      </c>
      <c r="J33" s="10">
        <v>-30909.524543259562</v>
      </c>
      <c r="K33" s="10">
        <v>-31057.429415066876</v>
      </c>
      <c r="L33" s="10">
        <v>-30865.262797944328</v>
      </c>
      <c r="M33" s="10">
        <v>-30689.868510077478</v>
      </c>
      <c r="N33" s="10">
        <v>-30603.85109652533</v>
      </c>
      <c r="O33" s="10">
        <v>-30597.565584128239</v>
      </c>
      <c r="P33" s="10">
        <v>-30586.361985779065</v>
      </c>
      <c r="Q33" s="10">
        <v>-30661.159118379408</v>
      </c>
      <c r="R33" s="10">
        <v>-31251.859791711402</v>
      </c>
      <c r="S33" s="10">
        <v>-31396.736091085371</v>
      </c>
      <c r="T33" s="10">
        <v>-31411.557352837441</v>
      </c>
      <c r="U33" s="10">
        <v>-31456.572953482682</v>
      </c>
      <c r="V33" s="10">
        <v>-31278.816368824017</v>
      </c>
      <c r="W33" s="10">
        <v>-31668.388343768856</v>
      </c>
      <c r="X33" s="10">
        <v>-31307.133185565603</v>
      </c>
      <c r="Y33" s="10">
        <v>-31630.52146594958</v>
      </c>
      <c r="Z33" s="10">
        <v>-31421.710030481503</v>
      </c>
      <c r="AA33" s="10">
        <v>-31487.480770841059</v>
      </c>
    </row>
    <row r="34" spans="1:27" x14ac:dyDescent="0.25">
      <c r="A34">
        <v>2024</v>
      </c>
      <c r="B34">
        <v>2003100007</v>
      </c>
      <c r="C34" s="4" t="s">
        <v>85</v>
      </c>
      <c r="D34" s="4" t="s">
        <v>9</v>
      </c>
      <c r="E34" t="str">
        <f>_xlfn.XLOOKUP(tActuals_1[[#This Row],[Account]],'Account-Overview'!A:A,'Account-Overview'!B:B)</f>
        <v>Revenue (NL)</v>
      </c>
      <c r="F34" s="10">
        <v>1303688.0299999998</v>
      </c>
      <c r="I34" s="15" t="s">
        <v>100</v>
      </c>
      <c r="J34" s="16">
        <v>-1555136.0787005569</v>
      </c>
      <c r="K34" s="16">
        <v>-1562598.569672405</v>
      </c>
      <c r="L34" s="16">
        <v>-1567811.9875059724</v>
      </c>
      <c r="M34" s="16">
        <v>-1544263.1500471423</v>
      </c>
      <c r="N34" s="16">
        <v>-1539991.1486449142</v>
      </c>
      <c r="O34" s="16">
        <v>-1548088.7760518068</v>
      </c>
      <c r="P34" s="16">
        <v>-1538853.5462002382</v>
      </c>
      <c r="Q34" s="16">
        <v>-1543126.5205562874</v>
      </c>
      <c r="R34" s="16">
        <v>-1598615.0621655968</v>
      </c>
      <c r="S34" s="16">
        <v>-1579763.4874029434</v>
      </c>
      <c r="T34" s="16">
        <v>-1580422.8727808974</v>
      </c>
      <c r="U34" s="16">
        <v>-1671264.7147753506</v>
      </c>
      <c r="V34" s="16">
        <v>-1573719.7579048376</v>
      </c>
      <c r="W34" s="16">
        <v>-1593334.03959086</v>
      </c>
      <c r="X34" s="16">
        <v>-1595185.6854267872</v>
      </c>
      <c r="Y34" s="16">
        <v>-1591764.2856023083</v>
      </c>
      <c r="Z34" s="16">
        <v>-1581072.5929686164</v>
      </c>
      <c r="AA34" s="16">
        <v>-1592239.5109132777</v>
      </c>
    </row>
    <row r="35" spans="1:27" x14ac:dyDescent="0.25">
      <c r="A35">
        <v>2024</v>
      </c>
      <c r="B35">
        <v>2003100007</v>
      </c>
      <c r="C35" s="4" t="s">
        <v>86</v>
      </c>
      <c r="D35" s="4" t="s">
        <v>10</v>
      </c>
      <c r="E35" t="str">
        <f>_xlfn.XLOOKUP(tActuals_1[[#This Row],[Account]],'Account-Overview'!A:A,'Account-Overview'!B:B)</f>
        <v>Revenue (NL)</v>
      </c>
      <c r="F35" s="10">
        <v>1535434.2</v>
      </c>
      <c r="I35" s="4" t="s">
        <v>34</v>
      </c>
      <c r="J35" s="10">
        <v>-77705.212594625016</v>
      </c>
      <c r="K35" s="10">
        <v>-102457.95750548822</v>
      </c>
      <c r="L35" s="10">
        <v>-122105.30944693858</v>
      </c>
      <c r="M35" s="10">
        <v>-131622.64395240572</v>
      </c>
      <c r="N35" s="10">
        <v>-165518.77072500001</v>
      </c>
      <c r="O35" s="10">
        <v>-157636.92450000002</v>
      </c>
      <c r="P35" s="10">
        <v>-149852.46899700005</v>
      </c>
      <c r="Q35" s="10">
        <v>-136552.84107616253</v>
      </c>
      <c r="R35" s="10">
        <v>-133810.25790000003</v>
      </c>
      <c r="S35" s="10">
        <v>-374669.91324551264</v>
      </c>
      <c r="T35" s="10">
        <v>-263362.75371374527</v>
      </c>
      <c r="U35" s="10">
        <v>-108238.57164697502</v>
      </c>
      <c r="V35" s="10">
        <v>-77803.449273000006</v>
      </c>
      <c r="W35" s="10">
        <v>-90917.016300000018</v>
      </c>
      <c r="X35" s="10">
        <v>-108164.70699812661</v>
      </c>
      <c r="Y35" s="10">
        <v>-142914.88007725426</v>
      </c>
      <c r="Z35" s="10">
        <v>-133451.56798714478</v>
      </c>
      <c r="AA35" s="10">
        <v>-144759.45764610005</v>
      </c>
    </row>
    <row r="36" spans="1:27" x14ac:dyDescent="0.25">
      <c r="A36">
        <v>2024</v>
      </c>
      <c r="B36">
        <v>2003100007</v>
      </c>
      <c r="C36" s="4" t="s">
        <v>87</v>
      </c>
      <c r="D36" s="4" t="s">
        <v>11</v>
      </c>
      <c r="E36" t="str">
        <f>_xlfn.XLOOKUP(tActuals_1[[#This Row],[Account]],'Account-Overview'!A:A,'Account-Overview'!B:B)</f>
        <v>Revenue (NL)</v>
      </c>
      <c r="F36" s="10">
        <v>1544790.7000000002</v>
      </c>
      <c r="I36" s="4" t="s">
        <v>32</v>
      </c>
      <c r="J36" s="10">
        <v>-358802.71282625006</v>
      </c>
      <c r="K36" s="10">
        <v>-376107.33455077809</v>
      </c>
      <c r="L36" s="10">
        <v>-445681.77704020828</v>
      </c>
      <c r="M36" s="10">
        <v>-475436.64132128179</v>
      </c>
      <c r="N36" s="10">
        <v>-384962.22418500006</v>
      </c>
      <c r="O36" s="10">
        <v>-366630.68970000005</v>
      </c>
      <c r="P36" s="10">
        <v>-268498.33129350003</v>
      </c>
      <c r="Q36" s="10">
        <v>-227638.34806683435</v>
      </c>
      <c r="R36" s="10">
        <v>-413490.11320277973</v>
      </c>
      <c r="S36" s="10">
        <v>-381830.94645313761</v>
      </c>
      <c r="T36" s="10">
        <v>-394643.55968815665</v>
      </c>
      <c r="U36" s="10">
        <v>-372706.14279112499</v>
      </c>
      <c r="V36" s="10">
        <v>-359256.31929000001</v>
      </c>
      <c r="W36" s="10">
        <v>-369330.92676575581</v>
      </c>
      <c r="X36" s="10">
        <v>-425180.18966605875</v>
      </c>
      <c r="Y36" s="10">
        <v>-358492.33783221879</v>
      </c>
      <c r="Z36" s="10">
        <v>-303859.33126635099</v>
      </c>
      <c r="AA36" s="10">
        <v>-286833.30015779997</v>
      </c>
    </row>
    <row r="37" spans="1:27" x14ac:dyDescent="0.25">
      <c r="A37">
        <v>2024</v>
      </c>
      <c r="B37">
        <v>2003100007</v>
      </c>
      <c r="C37" s="4" t="s">
        <v>88</v>
      </c>
      <c r="D37" s="4" t="s">
        <v>12</v>
      </c>
      <c r="E37" t="str">
        <f>_xlfn.XLOOKUP(tActuals_1[[#This Row],[Account]],'Account-Overview'!A:A,'Account-Overview'!B:B)</f>
        <v>Revenue (NL)</v>
      </c>
      <c r="F37" s="10">
        <v>1497762.41</v>
      </c>
      <c r="I37" s="4" t="s">
        <v>33</v>
      </c>
      <c r="J37" s="10">
        <v>-109605.29643112503</v>
      </c>
      <c r="K37" s="10">
        <v>-118609.10477650013</v>
      </c>
      <c r="L37" s="10">
        <v>-123117.26695895618</v>
      </c>
      <c r="M37" s="10">
        <v>-116028.82883361628</v>
      </c>
      <c r="N37" s="10">
        <v>-97509.604500000016</v>
      </c>
      <c r="O37" s="10">
        <v>-92866.290000000023</v>
      </c>
      <c r="P37" s="10">
        <v>-84998.736900000018</v>
      </c>
      <c r="Q37" s="10">
        <v>-96952.952550162518</v>
      </c>
      <c r="R37" s="10">
        <v>-156020.26752300485</v>
      </c>
      <c r="S37" s="10">
        <v>-168444.87350460002</v>
      </c>
      <c r="T37" s="10">
        <v>-176087.59613760217</v>
      </c>
      <c r="U37" s="10">
        <v>-142666.17608650003</v>
      </c>
      <c r="V37" s="10">
        <v>-120743.03726100002</v>
      </c>
      <c r="W37" s="10">
        <v>-128562.52376125654</v>
      </c>
      <c r="X37" s="10">
        <v>-132254.70154772289</v>
      </c>
      <c r="Y37" s="10">
        <v>-131225.52788252197</v>
      </c>
      <c r="Z37" s="10">
        <v>-113819.14772511229</v>
      </c>
      <c r="AA37" s="10">
        <v>-108185.12812800003</v>
      </c>
    </row>
    <row r="38" spans="1:27" x14ac:dyDescent="0.25">
      <c r="A38">
        <v>2024</v>
      </c>
      <c r="B38">
        <v>2211200001</v>
      </c>
      <c r="C38" s="4" t="s">
        <v>77</v>
      </c>
      <c r="D38" s="4" t="s">
        <v>13</v>
      </c>
      <c r="E38" t="str">
        <f>_xlfn.XLOOKUP(tActuals_1[[#This Row],[Account]],'Account-Overview'!A:A,'Account-Overview'!B:B)</f>
        <v>COGS (DE)</v>
      </c>
      <c r="F38" s="10">
        <v>-9336788.7345072329</v>
      </c>
      <c r="I38" s="4" t="s">
        <v>36</v>
      </c>
      <c r="J38" s="10">
        <v>-3866.8847250000008</v>
      </c>
      <c r="K38" s="10">
        <v>-4994.0684132232964</v>
      </c>
      <c r="L38" s="10">
        <v>-6241.18</v>
      </c>
      <c r="M38" s="10">
        <v>-10642.356769379154</v>
      </c>
      <c r="N38" s="10">
        <v>-11738.239645000001</v>
      </c>
      <c r="O38" s="10">
        <v>-10026.894900000003</v>
      </c>
      <c r="P38" s="10">
        <v>-4764.0300592500016</v>
      </c>
      <c r="Q38" s="10">
        <v>-2764.8399657725004</v>
      </c>
      <c r="R38" s="10">
        <v>-25028.068353701921</v>
      </c>
      <c r="S38" s="10">
        <v>-27633.961081650003</v>
      </c>
      <c r="T38" s="10">
        <v>-16961.501645555207</v>
      </c>
      <c r="U38" s="10">
        <v>-10536.490884562501</v>
      </c>
      <c r="V38" s="10">
        <v>-2632.9842000000003</v>
      </c>
      <c r="W38" s="10">
        <v>-2560.9757513725699</v>
      </c>
      <c r="X38" s="10">
        <v>-2620.5616775250001</v>
      </c>
      <c r="Y38" s="10">
        <v>-3759.3345729041562</v>
      </c>
      <c r="Z38" s="10">
        <v>-3757.0973813010005</v>
      </c>
      <c r="AA38" s="10">
        <v>-3807.1657800000003</v>
      </c>
    </row>
    <row r="39" spans="1:27" x14ac:dyDescent="0.25">
      <c r="A39">
        <v>2024</v>
      </c>
      <c r="B39">
        <v>2211200001</v>
      </c>
      <c r="C39" s="4" t="s">
        <v>78</v>
      </c>
      <c r="D39" s="4" t="s">
        <v>2</v>
      </c>
      <c r="E39" t="str">
        <f>_xlfn.XLOOKUP(tActuals_1[[#This Row],[Account]],'Account-Overview'!A:A,'Account-Overview'!B:B)</f>
        <v>COGS (DE)</v>
      </c>
      <c r="F39" s="10">
        <v>-12888477.307886396</v>
      </c>
      <c r="I39" s="4" t="s">
        <v>35</v>
      </c>
      <c r="J39" s="10">
        <v>-5524.3312451250022</v>
      </c>
      <c r="K39" s="10">
        <v>-9752.1445438394639</v>
      </c>
      <c r="L39" s="10">
        <v>-15468.533423580548</v>
      </c>
      <c r="M39" s="10">
        <v>-12906.135046685587</v>
      </c>
      <c r="N39" s="10">
        <v>-11954.921000000002</v>
      </c>
      <c r="O39" s="10">
        <v>-7698.0200000000013</v>
      </c>
      <c r="P39" s="10">
        <v>-6521.4226247500019</v>
      </c>
      <c r="Q39" s="10">
        <v>-3642.6022710000002</v>
      </c>
      <c r="R39" s="10">
        <v>-16643.804933507563</v>
      </c>
      <c r="S39" s="10">
        <v>-21757.433195987502</v>
      </c>
      <c r="T39" s="10">
        <v>-19240.915793935452</v>
      </c>
      <c r="U39" s="10">
        <v>-10923.126623750002</v>
      </c>
      <c r="V39" s="10">
        <v>-12718.715229000001</v>
      </c>
      <c r="W39" s="10">
        <v>-13651.578459708369</v>
      </c>
      <c r="X39" s="10">
        <v>-16336.879192012504</v>
      </c>
      <c r="Y39" s="10">
        <v>-15475.386891739785</v>
      </c>
      <c r="Z39" s="10">
        <v>-11421.3553828605</v>
      </c>
      <c r="AA39" s="10">
        <v>-12351.666690000002</v>
      </c>
    </row>
    <row r="40" spans="1:27" x14ac:dyDescent="0.25">
      <c r="A40">
        <v>2024</v>
      </c>
      <c r="B40">
        <v>2211200001</v>
      </c>
      <c r="C40" s="4" t="s">
        <v>79</v>
      </c>
      <c r="D40" s="4" t="s">
        <v>3</v>
      </c>
      <c r="E40" t="str">
        <f>_xlfn.XLOOKUP(tActuals_1[[#This Row],[Account]],'Account-Overview'!A:A,'Account-Overview'!B:B)</f>
        <v>COGS (DE)</v>
      </c>
      <c r="F40" s="10">
        <v>-17560389.519540392</v>
      </c>
      <c r="I40" s="15" t="s">
        <v>101</v>
      </c>
      <c r="J40" s="16">
        <v>-555504.43782212515</v>
      </c>
      <c r="K40" s="16">
        <v>-611920.60978982924</v>
      </c>
      <c r="L40" s="16">
        <v>-712614.06686968368</v>
      </c>
      <c r="M40" s="16">
        <v>-746636.60592336848</v>
      </c>
      <c r="N40" s="16">
        <v>-671683.76005500008</v>
      </c>
      <c r="O40" s="16">
        <v>-634858.81910000008</v>
      </c>
      <c r="P40" s="16">
        <v>-514634.98987450008</v>
      </c>
      <c r="Q40" s="16">
        <v>-467551.58392993192</v>
      </c>
      <c r="R40" s="16">
        <v>-744992.51191299409</v>
      </c>
      <c r="S40" s="16">
        <v>-974337.12748088769</v>
      </c>
      <c r="T40" s="16">
        <v>-870296.32697899465</v>
      </c>
      <c r="U40" s="16">
        <v>-645070.5080329125</v>
      </c>
      <c r="V40" s="16">
        <v>-573154.50525299995</v>
      </c>
      <c r="W40" s="16">
        <v>-605023.02103809325</v>
      </c>
      <c r="X40" s="16">
        <v>-684557.03908144578</v>
      </c>
      <c r="Y40" s="16">
        <v>-651867.46725663892</v>
      </c>
      <c r="Z40" s="16">
        <v>-566308.49974276952</v>
      </c>
      <c r="AA40" s="16">
        <v>-555936.71840190014</v>
      </c>
    </row>
    <row r="41" spans="1:27" x14ac:dyDescent="0.25">
      <c r="A41">
        <v>2024</v>
      </c>
      <c r="B41">
        <v>2211200001</v>
      </c>
      <c r="C41" s="4" t="s">
        <v>80</v>
      </c>
      <c r="D41" s="4" t="s">
        <v>4</v>
      </c>
      <c r="E41" t="str">
        <f>_xlfn.XLOOKUP(tActuals_1[[#This Row],[Account]],'Account-Overview'!A:A,'Account-Overview'!B:B)</f>
        <v>COGS (DE)</v>
      </c>
      <c r="F41" s="10">
        <v>-16154015.034733448</v>
      </c>
      <c r="I41" s="15" t="s">
        <v>104</v>
      </c>
      <c r="J41" s="16">
        <v>-97865.595786750011</v>
      </c>
      <c r="K41" s="16">
        <v>-97865.595786750011</v>
      </c>
      <c r="L41" s="16">
        <v>-97605.446573250039</v>
      </c>
      <c r="M41" s="16">
        <v>-97605.446573250039</v>
      </c>
      <c r="N41" s="16">
        <v>-97605.446573250039</v>
      </c>
      <c r="O41" s="16">
        <v>-97610.712100000004</v>
      </c>
      <c r="P41" s="16">
        <v>-97793.228500000027</v>
      </c>
      <c r="Q41" s="16">
        <v>-97961.04340000001</v>
      </c>
      <c r="R41" s="16">
        <v>-97755.343400000012</v>
      </c>
      <c r="S41" s="16">
        <v>-97755.343400000012</v>
      </c>
      <c r="T41" s="16">
        <v>-97755.343400000012</v>
      </c>
      <c r="U41" s="16">
        <v>-97755.343400000012</v>
      </c>
      <c r="V41" s="16">
        <v>-96777.789966000011</v>
      </c>
      <c r="W41" s="16">
        <v>-96777.789966000011</v>
      </c>
      <c r="X41" s="16">
        <v>-96777.789966000011</v>
      </c>
      <c r="Y41" s="16">
        <v>-96777.789966000011</v>
      </c>
      <c r="Z41" s="16">
        <v>-96777.789966000011</v>
      </c>
      <c r="AA41" s="16">
        <v>-96777.789966000011</v>
      </c>
    </row>
    <row r="42" spans="1:27" x14ac:dyDescent="0.25">
      <c r="A42">
        <v>2024</v>
      </c>
      <c r="B42">
        <v>2211200001</v>
      </c>
      <c r="C42" s="4" t="s">
        <v>81</v>
      </c>
      <c r="D42" s="4" t="s">
        <v>5</v>
      </c>
      <c r="E42" t="str">
        <f>_xlfn.XLOOKUP(tActuals_1[[#This Row],[Account]],'Account-Overview'!A:A,'Account-Overview'!B:B)</f>
        <v>COGS (DE)</v>
      </c>
      <c r="F42" s="10">
        <v>-14572287.713533852</v>
      </c>
      <c r="I42" s="15" t="s">
        <v>103</v>
      </c>
      <c r="J42" s="16">
        <v>-12827.642847250003</v>
      </c>
      <c r="K42" s="16">
        <v>-8990.7802792500006</v>
      </c>
      <c r="L42" s="16"/>
      <c r="M42" s="16">
        <v>-3847.8000000000006</v>
      </c>
      <c r="N42" s="16">
        <v>-7295.2231000000002</v>
      </c>
      <c r="O42" s="16">
        <v>-7630.3810000000012</v>
      </c>
      <c r="P42" s="16">
        <v>-10130.797600000002</v>
      </c>
      <c r="Q42" s="16">
        <v>-1985.7673000000004</v>
      </c>
      <c r="R42" s="16"/>
      <c r="S42" s="16">
        <v>-10368.163300000002</v>
      </c>
      <c r="T42" s="16">
        <v>-5253.4328000000014</v>
      </c>
      <c r="U42" s="16">
        <v>-6869.5330000000013</v>
      </c>
      <c r="V42" s="16">
        <v>-12843.859842000002</v>
      </c>
      <c r="W42" s="16">
        <v>-9002.1466260000016</v>
      </c>
      <c r="X42" s="16">
        <v>-674.07030900000018</v>
      </c>
      <c r="Y42" s="16">
        <v>-782.94744000000003</v>
      </c>
      <c r="Z42" s="16">
        <v>-1103.4935010000002</v>
      </c>
      <c r="AA42" s="16">
        <v>-4852.5611310000004</v>
      </c>
    </row>
    <row r="43" spans="1:27" x14ac:dyDescent="0.25">
      <c r="A43">
        <v>2024</v>
      </c>
      <c r="B43">
        <v>2211200001</v>
      </c>
      <c r="C43" s="4" t="s">
        <v>82</v>
      </c>
      <c r="D43" s="4" t="s">
        <v>6</v>
      </c>
      <c r="E43" t="str">
        <f>_xlfn.XLOOKUP(tActuals_1[[#This Row],[Account]],'Account-Overview'!A:A,'Account-Overview'!B:B)</f>
        <v>COGS (DE)</v>
      </c>
      <c r="F43" s="10">
        <v>-11649164.578394977</v>
      </c>
      <c r="I43" s="4" t="s">
        <v>49</v>
      </c>
      <c r="J43" s="10">
        <v>-11832.966279750002</v>
      </c>
      <c r="K43" s="10">
        <v>-10668.467240750004</v>
      </c>
      <c r="L43" s="10">
        <v>-18729.565800000004</v>
      </c>
      <c r="M43" s="10">
        <v>-13879.426000000003</v>
      </c>
      <c r="N43" s="10">
        <v>-6075.5310000000018</v>
      </c>
      <c r="O43" s="10">
        <v>-16220.158900000004</v>
      </c>
      <c r="P43" s="10">
        <v>-11514.541500000003</v>
      </c>
      <c r="Q43" s="10">
        <v>-11156.684000000001</v>
      </c>
      <c r="R43" s="10">
        <v>-13266.536800000002</v>
      </c>
      <c r="S43" s="10">
        <v>-6528.4340000000011</v>
      </c>
      <c r="T43" s="10">
        <v>-12028.489000000001</v>
      </c>
      <c r="U43" s="10">
        <v>-31238.467240750007</v>
      </c>
      <c r="V43" s="10">
        <v>-11847.925782000002</v>
      </c>
      <c r="W43" s="10">
        <v>-8517.8596140000009</v>
      </c>
      <c r="X43" s="10">
        <v>-2207.6099100000006</v>
      </c>
      <c r="Y43" s="10">
        <v>-7067.7178110000013</v>
      </c>
      <c r="Z43" s="10">
        <v>-12834.947466000003</v>
      </c>
      <c r="AA43" s="10">
        <v>-22129.992621000005</v>
      </c>
    </row>
    <row r="44" spans="1:27" x14ac:dyDescent="0.25">
      <c r="A44">
        <v>2024</v>
      </c>
      <c r="B44">
        <v>2211200001</v>
      </c>
      <c r="C44" s="4" t="s">
        <v>83</v>
      </c>
      <c r="D44" s="4" t="s">
        <v>7</v>
      </c>
      <c r="E44" t="str">
        <f>_xlfn.XLOOKUP(tActuals_1[[#This Row],[Account]],'Account-Overview'!A:A,'Account-Overview'!B:B)</f>
        <v>COGS (DE)</v>
      </c>
      <c r="F44" s="10">
        <v>-8686540.3381481916</v>
      </c>
      <c r="I44" s="4" t="s">
        <v>47</v>
      </c>
      <c r="J44" s="10">
        <v>-5825.3423401250011</v>
      </c>
      <c r="K44" s="10">
        <v>-1805.8392563750003</v>
      </c>
      <c r="L44" s="10">
        <v>-9079.840000000002</v>
      </c>
      <c r="M44" s="10">
        <v>-10433.467000000002</v>
      </c>
      <c r="N44" s="10">
        <v>-10286.197900000001</v>
      </c>
      <c r="O44" s="10">
        <v>-3214.2198000000008</v>
      </c>
      <c r="P44" s="10">
        <v>-4135.187100000001</v>
      </c>
      <c r="Q44" s="10">
        <v>-2146.4432000000002</v>
      </c>
      <c r="R44" s="10">
        <v>-2135.0813000000003</v>
      </c>
      <c r="S44" s="10">
        <v>-11247.119400000001</v>
      </c>
      <c r="T44" s="10">
        <v>-1803.5413000000003</v>
      </c>
      <c r="U44" s="10">
        <v>-2119.2666000000004</v>
      </c>
      <c r="V44" s="10">
        <v>-5832.7068690000006</v>
      </c>
      <c r="W44" s="10">
        <v>-1808.1222390000003</v>
      </c>
      <c r="X44" s="10">
        <v>-7327.0032660000015</v>
      </c>
      <c r="Y44" s="10">
        <v>-7621.5548970000018</v>
      </c>
      <c r="Z44" s="10">
        <v>-2082.0939480000002</v>
      </c>
      <c r="AA44" s="10">
        <v>-2059.214058</v>
      </c>
    </row>
    <row r="45" spans="1:27" x14ac:dyDescent="0.25">
      <c r="A45">
        <v>2024</v>
      </c>
      <c r="B45">
        <v>2211200001</v>
      </c>
      <c r="C45" s="4" t="s">
        <v>84</v>
      </c>
      <c r="D45" s="4" t="s">
        <v>8</v>
      </c>
      <c r="E45" t="str">
        <f>_xlfn.XLOOKUP(tActuals_1[[#This Row],[Account]],'Account-Overview'!A:A,'Account-Overview'!B:B)</f>
        <v>COGS (DE)</v>
      </c>
      <c r="F45" s="10">
        <v>-10685746.351340942</v>
      </c>
      <c r="I45" s="15" t="s">
        <v>102</v>
      </c>
      <c r="J45" s="16">
        <v>-17658.308619875002</v>
      </c>
      <c r="K45" s="16">
        <v>-12474.306497125004</v>
      </c>
      <c r="L45" s="16">
        <v>-27809.405800000008</v>
      </c>
      <c r="M45" s="16">
        <v>-24312.893000000004</v>
      </c>
      <c r="N45" s="16">
        <v>-16361.728900000002</v>
      </c>
      <c r="O45" s="16">
        <v>-19434.378700000005</v>
      </c>
      <c r="P45" s="16">
        <v>-15649.728600000004</v>
      </c>
      <c r="Q45" s="16">
        <v>-13303.127200000001</v>
      </c>
      <c r="R45" s="16">
        <v>-15401.618100000002</v>
      </c>
      <c r="S45" s="16">
        <v>-17775.553400000004</v>
      </c>
      <c r="T45" s="16">
        <v>-13832.030300000002</v>
      </c>
      <c r="U45" s="16">
        <v>-33357.733840750006</v>
      </c>
      <c r="V45" s="16">
        <v>-17680.632651000004</v>
      </c>
      <c r="W45" s="16">
        <v>-10325.981853000001</v>
      </c>
      <c r="X45" s="16">
        <v>-9534.6131760000026</v>
      </c>
      <c r="Y45" s="16">
        <v>-14689.272708000004</v>
      </c>
      <c r="Z45" s="16">
        <v>-14917.041414000003</v>
      </c>
      <c r="AA45" s="16">
        <v>-24189.206679000006</v>
      </c>
    </row>
    <row r="46" spans="1:27" x14ac:dyDescent="0.25">
      <c r="A46">
        <v>2024</v>
      </c>
      <c r="B46">
        <v>2211200001</v>
      </c>
      <c r="C46" s="4" t="s">
        <v>85</v>
      </c>
      <c r="D46" s="4" t="s">
        <v>9</v>
      </c>
      <c r="E46" t="str">
        <f>_xlfn.XLOOKUP(tActuals_1[[#This Row],[Account]],'Account-Overview'!A:A,'Account-Overview'!B:B)</f>
        <v>COGS (DE)</v>
      </c>
      <c r="F46" s="10">
        <v>-18480801.116032291</v>
      </c>
      <c r="I46" s="4" t="s">
        <v>44</v>
      </c>
      <c r="J46" s="10">
        <v>-71770.089737500006</v>
      </c>
      <c r="K46" s="10">
        <v>-13956.64980325</v>
      </c>
      <c r="L46" s="10"/>
      <c r="M46" s="10"/>
      <c r="N46" s="10"/>
      <c r="O46" s="10">
        <v>-33073.329300000005</v>
      </c>
      <c r="P46" s="10">
        <v>-8268.3293000000012</v>
      </c>
      <c r="Q46" s="10">
        <v>-8268.3293000000012</v>
      </c>
      <c r="R46" s="10">
        <v>-8268.3293000000012</v>
      </c>
      <c r="S46" s="10">
        <v>-8268.3293000000012</v>
      </c>
      <c r="T46" s="10">
        <v>-8268.3293000000012</v>
      </c>
      <c r="U46" s="10">
        <v>-8268.3293000000012</v>
      </c>
      <c r="V46" s="10">
        <v>-71860.823100000009</v>
      </c>
      <c r="W46" s="10">
        <v>-13974.294114</v>
      </c>
      <c r="X46" s="10">
        <v>-9383.5460070000008</v>
      </c>
      <c r="Y46" s="10">
        <v>-10880.322057000001</v>
      </c>
      <c r="Z46" s="10">
        <v>-10131.934032000001</v>
      </c>
      <c r="AA46" s="10">
        <v>-10131.934032000001</v>
      </c>
    </row>
    <row r="47" spans="1:27" x14ac:dyDescent="0.25">
      <c r="A47">
        <v>2024</v>
      </c>
      <c r="B47">
        <v>2211200001</v>
      </c>
      <c r="C47" s="4" t="s">
        <v>86</v>
      </c>
      <c r="D47" s="4" t="s">
        <v>10</v>
      </c>
      <c r="E47" t="str">
        <f>_xlfn.XLOOKUP(tActuals_1[[#This Row],[Account]],'Account-Overview'!A:A,'Account-Overview'!B:B)</f>
        <v>COGS (DE)</v>
      </c>
      <c r="F47" s="10">
        <v>-16614971.979088241</v>
      </c>
      <c r="I47" s="4" t="s">
        <v>45</v>
      </c>
      <c r="J47" s="10">
        <v>-26991.973556625006</v>
      </c>
      <c r="K47" s="10">
        <v>-28304.255113750001</v>
      </c>
      <c r="L47" s="10">
        <v>-27343.580000000005</v>
      </c>
      <c r="M47" s="10">
        <v>-24900.348000000002</v>
      </c>
      <c r="N47" s="10">
        <v>-26122.569000000007</v>
      </c>
      <c r="O47" s="10">
        <v>-27268.221200000007</v>
      </c>
      <c r="P47" s="10">
        <v>-31253.670800000007</v>
      </c>
      <c r="Q47" s="10">
        <v>-29210.198600000003</v>
      </c>
      <c r="R47" s="10">
        <v>-26770.209400000003</v>
      </c>
      <c r="S47" s="10">
        <v>-28728.921100000003</v>
      </c>
      <c r="T47" s="10">
        <v>-30726.582700000003</v>
      </c>
      <c r="U47" s="10">
        <v>-30158.354600000002</v>
      </c>
      <c r="V47" s="10">
        <v>-27026.097417000004</v>
      </c>
      <c r="W47" s="10">
        <v>-28340.037990000004</v>
      </c>
      <c r="X47" s="10">
        <v>-28256.017284000001</v>
      </c>
      <c r="Y47" s="10">
        <v>-25741.912680000005</v>
      </c>
      <c r="Z47" s="10">
        <v>-24393.041343000004</v>
      </c>
      <c r="AA47" s="10">
        <v>-25141.213746000005</v>
      </c>
    </row>
    <row r="48" spans="1:27" x14ac:dyDescent="0.25">
      <c r="A48">
        <v>2024</v>
      </c>
      <c r="B48">
        <v>2211200001</v>
      </c>
      <c r="C48" s="4" t="s">
        <v>87</v>
      </c>
      <c r="D48" s="4" t="s">
        <v>11</v>
      </c>
      <c r="E48" t="str">
        <f>_xlfn.XLOOKUP(tActuals_1[[#This Row],[Account]],'Account-Overview'!A:A,'Account-Overview'!B:B)</f>
        <v>COGS (DE)</v>
      </c>
      <c r="F48" s="10">
        <v>-18080349.897248216</v>
      </c>
      <c r="I48" s="4" t="s">
        <v>46</v>
      </c>
      <c r="J48" s="10"/>
      <c r="K48" s="10"/>
      <c r="L48" s="10">
        <v>-36964.048000000003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-38153.678013000012</v>
      </c>
      <c r="Y48" s="10"/>
      <c r="Z48" s="10"/>
      <c r="AA48" s="10"/>
    </row>
    <row r="49" spans="1:27" x14ac:dyDescent="0.25">
      <c r="A49">
        <v>2024</v>
      </c>
      <c r="B49">
        <v>2211200001</v>
      </c>
      <c r="C49" s="4" t="s">
        <v>88</v>
      </c>
      <c r="D49" s="4" t="s">
        <v>12</v>
      </c>
      <c r="E49" t="str">
        <f>_xlfn.XLOOKUP(tActuals_1[[#This Row],[Account]],'Account-Overview'!A:A,'Account-Overview'!B:B)</f>
        <v>COGS (DE)</v>
      </c>
      <c r="F49" s="10">
        <v>-17253623.790924061</v>
      </c>
      <c r="I49" s="15" t="s">
        <v>122</v>
      </c>
      <c r="J49" s="16">
        <v>-98762.063294125008</v>
      </c>
      <c r="K49" s="16">
        <v>-42260.904917</v>
      </c>
      <c r="L49" s="16">
        <v>-64307.628000000012</v>
      </c>
      <c r="M49" s="16">
        <v>-24900.348000000002</v>
      </c>
      <c r="N49" s="16">
        <v>-26122.569000000007</v>
      </c>
      <c r="O49" s="16">
        <v>-60341.550500000012</v>
      </c>
      <c r="P49" s="16">
        <v>-39522.000100000005</v>
      </c>
      <c r="Q49" s="16">
        <v>-37478.527900000001</v>
      </c>
      <c r="R49" s="16">
        <v>-35038.538700000005</v>
      </c>
      <c r="S49" s="16">
        <v>-36997.250400000004</v>
      </c>
      <c r="T49" s="16">
        <v>-38994.912000000004</v>
      </c>
      <c r="U49" s="16">
        <v>-38426.683900000004</v>
      </c>
      <c r="V49" s="16">
        <v>-98886.92051700002</v>
      </c>
      <c r="W49" s="16">
        <v>-42314.332104000001</v>
      </c>
      <c r="X49" s="16">
        <v>-75793.24130400001</v>
      </c>
      <c r="Y49" s="16">
        <v>-36622.234737000006</v>
      </c>
      <c r="Z49" s="16">
        <v>-34524.975375000009</v>
      </c>
      <c r="AA49" s="16">
        <v>-35273.147778000006</v>
      </c>
    </row>
    <row r="50" spans="1:27" x14ac:dyDescent="0.25">
      <c r="A50">
        <v>2024</v>
      </c>
      <c r="B50">
        <v>2211200002</v>
      </c>
      <c r="C50" s="4" t="s">
        <v>77</v>
      </c>
      <c r="D50" s="4" t="s">
        <v>13</v>
      </c>
      <c r="E50" t="str">
        <f>_xlfn.XLOOKUP(tActuals_1[[#This Row],[Account]],'Account-Overview'!A:A,'Account-Overview'!B:B)</f>
        <v>COGS (PL)</v>
      </c>
      <c r="F50" s="10">
        <v>-723645.01494004123</v>
      </c>
      <c r="I50" s="17" t="s">
        <v>23</v>
      </c>
      <c r="J50" s="18">
        <v>-2337754.1270706821</v>
      </c>
      <c r="K50" s="18">
        <v>-2336110.766942359</v>
      </c>
      <c r="L50" s="18">
        <v>-2470148.5347489058</v>
      </c>
      <c r="M50" s="18">
        <v>-2441566.2435437609</v>
      </c>
      <c r="N50" s="18">
        <v>-2359059.8762731645</v>
      </c>
      <c r="O50" s="18">
        <v>-2367964.617451807</v>
      </c>
      <c r="P50" s="18">
        <v>-2216584.2908747382</v>
      </c>
      <c r="Q50" s="18">
        <v>-2161406.5702862195</v>
      </c>
      <c r="R50" s="18">
        <v>-2491803.0742785907</v>
      </c>
      <c r="S50" s="18">
        <v>-2716996.9253838314</v>
      </c>
      <c r="T50" s="18">
        <v>-2606554.9182598926</v>
      </c>
      <c r="U50" s="18">
        <v>-2492744.5169490133</v>
      </c>
      <c r="V50" s="18">
        <v>-2373063.4661338371</v>
      </c>
      <c r="W50" s="18">
        <v>-2356777.3111779531</v>
      </c>
      <c r="X50" s="18">
        <v>-2462522.4392632325</v>
      </c>
      <c r="Y50" s="18">
        <v>-2392503.9977099472</v>
      </c>
      <c r="Z50" s="18">
        <v>-2294704.3929673857</v>
      </c>
      <c r="AA50" s="18">
        <v>-2309268.9348691781</v>
      </c>
    </row>
    <row r="51" spans="1:27" x14ac:dyDescent="0.25">
      <c r="A51">
        <v>2024</v>
      </c>
      <c r="B51">
        <v>2211200002</v>
      </c>
      <c r="C51" s="4" t="s">
        <v>78</v>
      </c>
      <c r="D51" s="4" t="s">
        <v>2</v>
      </c>
      <c r="E51" t="str">
        <f>_xlfn.XLOOKUP(tActuals_1[[#This Row],[Account]],'Account-Overview'!A:A,'Account-Overview'!B:B)</f>
        <v>COGS (PL)</v>
      </c>
      <c r="F51" s="10">
        <v>-851880.0874124564</v>
      </c>
      <c r="I51" s="19" t="s">
        <v>24</v>
      </c>
      <c r="J51" s="20">
        <v>13028.879961256869</v>
      </c>
      <c r="K51" s="20">
        <v>873043.62891762005</v>
      </c>
      <c r="L51" s="20">
        <v>2110234.731094724</v>
      </c>
      <c r="M51" s="20">
        <v>2009575.9696349567</v>
      </c>
      <c r="N51" s="20">
        <v>1600280.8199710157</v>
      </c>
      <c r="O51" s="20">
        <v>839256.7148644221</v>
      </c>
      <c r="P51" s="20">
        <v>198708.62786181085</v>
      </c>
      <c r="Q51" s="20">
        <v>839962.82439667406</v>
      </c>
      <c r="R51" s="20">
        <v>1998289.0273409118</v>
      </c>
      <c r="S51" s="20">
        <v>1276259.1641698917</v>
      </c>
      <c r="T51" s="20">
        <v>1748192.1035890337</v>
      </c>
      <c r="U51" s="20">
        <v>1655883.0034360564</v>
      </c>
      <c r="V51" s="20">
        <v>-451763.02555170981</v>
      </c>
      <c r="W51" s="20">
        <v>265949.31307317037</v>
      </c>
      <c r="X51" s="20">
        <v>1094397.7434874098</v>
      </c>
      <c r="Y51" s="20">
        <v>393835.88418833772</v>
      </c>
      <c r="Z51" s="20">
        <v>720552.52096246416</v>
      </c>
      <c r="AA51" s="20">
        <v>330700.68494541338</v>
      </c>
    </row>
    <row r="52" spans="1:27" x14ac:dyDescent="0.25">
      <c r="A52">
        <v>2024</v>
      </c>
      <c r="B52">
        <v>2211200002</v>
      </c>
      <c r="C52" s="4" t="s">
        <v>79</v>
      </c>
      <c r="D52" s="4" t="s">
        <v>3</v>
      </c>
      <c r="E52" t="str">
        <f>_xlfn.XLOOKUP(tActuals_1[[#This Row],[Account]],'Account-Overview'!A:A,'Account-Overview'!B:B)</f>
        <v>COGS (PL)</v>
      </c>
      <c r="F52" s="10">
        <v>-1172064.4363036081</v>
      </c>
    </row>
    <row r="53" spans="1:27" x14ac:dyDescent="0.25">
      <c r="A53">
        <v>2024</v>
      </c>
      <c r="B53">
        <v>2211200002</v>
      </c>
      <c r="C53" s="4" t="s">
        <v>80</v>
      </c>
      <c r="D53" s="4" t="s">
        <v>4</v>
      </c>
      <c r="E53" t="str">
        <f>_xlfn.XLOOKUP(tActuals_1[[#This Row],[Account]],'Account-Overview'!A:A,'Account-Overview'!B:B)</f>
        <v>COGS (PL)</v>
      </c>
      <c r="F53" s="10">
        <v>-1119928.4824158766</v>
      </c>
    </row>
    <row r="54" spans="1:27" x14ac:dyDescent="0.25">
      <c r="A54">
        <v>2024</v>
      </c>
      <c r="B54">
        <v>2211200002</v>
      </c>
      <c r="C54" s="4" t="s">
        <v>81</v>
      </c>
      <c r="D54" s="4" t="s">
        <v>5</v>
      </c>
      <c r="E54" t="str">
        <f>_xlfn.XLOOKUP(tActuals_1[[#This Row],[Account]],'Account-Overview'!A:A,'Account-Overview'!B:B)</f>
        <v>COGS (PL)</v>
      </c>
      <c r="F54" s="10">
        <v>-903671.5366455121</v>
      </c>
    </row>
    <row r="55" spans="1:27" x14ac:dyDescent="0.25">
      <c r="A55">
        <v>2024</v>
      </c>
      <c r="B55">
        <v>2211200002</v>
      </c>
      <c r="C55" s="4" t="s">
        <v>82</v>
      </c>
      <c r="D55" s="4" t="s">
        <v>6</v>
      </c>
      <c r="E55" t="str">
        <f>_xlfn.XLOOKUP(tActuals_1[[#This Row],[Account]],'Account-Overview'!A:A,'Account-Overview'!B:B)</f>
        <v>COGS (PL)</v>
      </c>
      <c r="F55" s="10">
        <v>-811095.8285900976</v>
      </c>
    </row>
    <row r="56" spans="1:27" x14ac:dyDescent="0.25">
      <c r="A56">
        <v>2024</v>
      </c>
      <c r="B56">
        <v>2211200002</v>
      </c>
      <c r="C56" s="4" t="s">
        <v>83</v>
      </c>
      <c r="D56" s="4" t="s">
        <v>7</v>
      </c>
      <c r="E56" t="str">
        <f>_xlfn.XLOOKUP(tActuals_1[[#This Row],[Account]],'Account-Overview'!A:A,'Account-Overview'!B:B)</f>
        <v>COGS (PL)</v>
      </c>
      <c r="F56" s="10">
        <v>-590189.53394671693</v>
      </c>
    </row>
    <row r="57" spans="1:27" x14ac:dyDescent="0.25">
      <c r="A57">
        <v>2024</v>
      </c>
      <c r="B57">
        <v>2211200002</v>
      </c>
      <c r="C57" s="4" t="s">
        <v>84</v>
      </c>
      <c r="D57" s="4" t="s">
        <v>8</v>
      </c>
      <c r="E57" t="str">
        <f>_xlfn.XLOOKUP(tActuals_1[[#This Row],[Account]],'Account-Overview'!A:A,'Account-Overview'!B:B)</f>
        <v>COGS (PL)</v>
      </c>
      <c r="F57" s="10">
        <v>-805823.52410282835</v>
      </c>
    </row>
    <row r="58" spans="1:27" x14ac:dyDescent="0.25">
      <c r="A58">
        <v>2024</v>
      </c>
      <c r="B58">
        <v>2211200002</v>
      </c>
      <c r="C58" s="4" t="s">
        <v>85</v>
      </c>
      <c r="D58" s="4" t="s">
        <v>9</v>
      </c>
      <c r="E58" t="str">
        <f>_xlfn.XLOOKUP(tActuals_1[[#This Row],[Account]],'Account-Overview'!A:A,'Account-Overview'!B:B)</f>
        <v>COGS (PL)</v>
      </c>
      <c r="F58" s="10">
        <v>-1178510.9915419267</v>
      </c>
    </row>
    <row r="59" spans="1:27" x14ac:dyDescent="0.25">
      <c r="A59">
        <v>2024</v>
      </c>
      <c r="B59">
        <v>2211200002</v>
      </c>
      <c r="C59" s="4" t="s">
        <v>86</v>
      </c>
      <c r="D59" s="4" t="s">
        <v>10</v>
      </c>
      <c r="E59" t="str">
        <f>_xlfn.XLOOKUP(tActuals_1[[#This Row],[Account]],'Account-Overview'!A:A,'Account-Overview'!B:B)</f>
        <v>COGS (PL)</v>
      </c>
      <c r="F59" s="10">
        <v>-1166665.5965778399</v>
      </c>
    </row>
    <row r="60" spans="1:27" x14ac:dyDescent="0.25">
      <c r="A60">
        <v>2024</v>
      </c>
      <c r="B60">
        <v>2211200002</v>
      </c>
      <c r="C60" s="4" t="s">
        <v>87</v>
      </c>
      <c r="D60" s="4" t="s">
        <v>11</v>
      </c>
      <c r="E60" t="str">
        <f>_xlfn.XLOOKUP(tActuals_1[[#This Row],[Account]],'Account-Overview'!A:A,'Account-Overview'!B:B)</f>
        <v>COGS (PL)</v>
      </c>
      <c r="F60" s="10">
        <v>-1349251.958093368</v>
      </c>
    </row>
    <row r="61" spans="1:27" x14ac:dyDescent="0.25">
      <c r="A61">
        <v>2024</v>
      </c>
      <c r="B61">
        <v>2211200002</v>
      </c>
      <c r="C61" s="4" t="s">
        <v>88</v>
      </c>
      <c r="D61" s="4" t="s">
        <v>12</v>
      </c>
      <c r="E61" t="str">
        <f>_xlfn.XLOOKUP(tActuals_1[[#This Row],[Account]],'Account-Overview'!A:A,'Account-Overview'!B:B)</f>
        <v>COGS (PL)</v>
      </c>
      <c r="F61" s="10">
        <v>-1055502.7897308101</v>
      </c>
    </row>
    <row r="62" spans="1:27" x14ac:dyDescent="0.25">
      <c r="A62">
        <v>2024</v>
      </c>
      <c r="B62">
        <v>2211200003</v>
      </c>
      <c r="C62" s="4" t="s">
        <v>77</v>
      </c>
      <c r="D62" s="4" t="s">
        <v>13</v>
      </c>
      <c r="E62" t="str">
        <f>_xlfn.XLOOKUP(tActuals_1[[#This Row],[Account]],'Account-Overview'!A:A,'Account-Overview'!B:B)</f>
        <v>COGS (NL)</v>
      </c>
      <c r="F62" s="10">
        <v>-927479.00660414749</v>
      </c>
    </row>
    <row r="63" spans="1:27" x14ac:dyDescent="0.25">
      <c r="A63">
        <v>2024</v>
      </c>
      <c r="B63">
        <v>2211200003</v>
      </c>
      <c r="C63" s="4" t="s">
        <v>78</v>
      </c>
      <c r="D63" s="4" t="s">
        <v>2</v>
      </c>
      <c r="E63" t="str">
        <f>_xlfn.XLOOKUP(tActuals_1[[#This Row],[Account]],'Account-Overview'!A:A,'Account-Overview'!B:B)</f>
        <v>COGS (NL)</v>
      </c>
      <c r="F63" s="10">
        <v>-704715.47410218394</v>
      </c>
    </row>
    <row r="64" spans="1:27" x14ac:dyDescent="0.25">
      <c r="A64">
        <v>2024</v>
      </c>
      <c r="B64">
        <v>2211200003</v>
      </c>
      <c r="C64" s="4" t="s">
        <v>79</v>
      </c>
      <c r="D64" s="4" t="s">
        <v>3</v>
      </c>
      <c r="E64" t="str">
        <f>_xlfn.XLOOKUP(tActuals_1[[#This Row],[Account]],'Account-Overview'!A:A,'Account-Overview'!B:B)</f>
        <v>COGS (NL)</v>
      </c>
      <c r="F64" s="10">
        <v>-891741.66147497704</v>
      </c>
    </row>
    <row r="65" spans="1:6" x14ac:dyDescent="0.25">
      <c r="A65">
        <v>2024</v>
      </c>
      <c r="B65">
        <v>2211200003</v>
      </c>
      <c r="C65" s="4" t="s">
        <v>80</v>
      </c>
      <c r="D65" s="4" t="s">
        <v>4</v>
      </c>
      <c r="E65" t="str">
        <f>_xlfn.XLOOKUP(tActuals_1[[#This Row],[Account]],'Account-Overview'!A:A,'Account-Overview'!B:B)</f>
        <v>COGS (NL)</v>
      </c>
      <c r="F65" s="10">
        <v>-997120.07745444344</v>
      </c>
    </row>
    <row r="66" spans="1:6" x14ac:dyDescent="0.25">
      <c r="A66">
        <v>2024</v>
      </c>
      <c r="B66">
        <v>2211200003</v>
      </c>
      <c r="C66" s="4" t="s">
        <v>81</v>
      </c>
      <c r="D66" s="4" t="s">
        <v>5</v>
      </c>
      <c r="E66" t="str">
        <f>_xlfn.XLOOKUP(tActuals_1[[#This Row],[Account]],'Account-Overview'!A:A,'Account-Overview'!B:B)</f>
        <v>COGS (NL)</v>
      </c>
      <c r="F66" s="10">
        <v>-960150.55309049494</v>
      </c>
    </row>
    <row r="67" spans="1:6" x14ac:dyDescent="0.25">
      <c r="A67">
        <v>2024</v>
      </c>
      <c r="B67">
        <v>2211200003</v>
      </c>
      <c r="C67" s="4" t="s">
        <v>82</v>
      </c>
      <c r="D67" s="4" t="s">
        <v>6</v>
      </c>
      <c r="E67" t="str">
        <f>_xlfn.XLOOKUP(tActuals_1[[#This Row],[Account]],'Account-Overview'!A:A,'Account-Overview'!B:B)</f>
        <v>COGS (NL)</v>
      </c>
      <c r="F67" s="10">
        <v>-920083.11247849581</v>
      </c>
    </row>
    <row r="68" spans="1:6" x14ac:dyDescent="0.25">
      <c r="A68">
        <v>2024</v>
      </c>
      <c r="B68">
        <v>2211200003</v>
      </c>
      <c r="C68" s="4" t="s">
        <v>83</v>
      </c>
      <c r="D68" s="4" t="s">
        <v>7</v>
      </c>
      <c r="E68" t="str">
        <f>_xlfn.XLOOKUP(tActuals_1[[#This Row],[Account]],'Account-Overview'!A:A,'Account-Overview'!B:B)</f>
        <v>COGS (NL)</v>
      </c>
      <c r="F68" s="10">
        <v>-707533.22756387549</v>
      </c>
    </row>
    <row r="69" spans="1:6" x14ac:dyDescent="0.25">
      <c r="A69">
        <v>2024</v>
      </c>
      <c r="B69">
        <v>2211200003</v>
      </c>
      <c r="C69" s="4" t="s">
        <v>84</v>
      </c>
      <c r="D69" s="4" t="s">
        <v>8</v>
      </c>
      <c r="E69" t="str">
        <f>_xlfn.XLOOKUP(tActuals_1[[#This Row],[Account]],'Account-Overview'!A:A,'Account-Overview'!B:B)</f>
        <v>COGS (NL)</v>
      </c>
      <c r="F69" s="10">
        <v>-510035.97374145529</v>
      </c>
    </row>
    <row r="70" spans="1:6" x14ac:dyDescent="0.25">
      <c r="A70">
        <v>2024</v>
      </c>
      <c r="B70">
        <v>2211200003</v>
      </c>
      <c r="C70" s="4" t="s">
        <v>85</v>
      </c>
      <c r="D70" s="4" t="s">
        <v>9</v>
      </c>
      <c r="E70" t="str">
        <f>_xlfn.XLOOKUP(tActuals_1[[#This Row],[Account]],'Account-Overview'!A:A,'Account-Overview'!B:B)</f>
        <v>COGS (NL)</v>
      </c>
      <c r="F70" s="10">
        <v>-798532.1424569916</v>
      </c>
    </row>
    <row r="71" spans="1:6" x14ac:dyDescent="0.25">
      <c r="A71">
        <v>2024</v>
      </c>
      <c r="B71">
        <v>2211200003</v>
      </c>
      <c r="C71" s="4" t="s">
        <v>86</v>
      </c>
      <c r="D71" s="4" t="s">
        <v>10</v>
      </c>
      <c r="E71" t="str">
        <f>_xlfn.XLOOKUP(tActuals_1[[#This Row],[Account]],'Account-Overview'!A:A,'Account-Overview'!B:B)</f>
        <v>COGS (NL)</v>
      </c>
      <c r="F71" s="10">
        <v>-934751.90993476647</v>
      </c>
    </row>
    <row r="72" spans="1:6" x14ac:dyDescent="0.25">
      <c r="A72">
        <v>2024</v>
      </c>
      <c r="B72">
        <v>2211200003</v>
      </c>
      <c r="C72" s="4" t="s">
        <v>87</v>
      </c>
      <c r="D72" s="4" t="s">
        <v>11</v>
      </c>
      <c r="E72" t="str">
        <f>_xlfn.XLOOKUP(tActuals_1[[#This Row],[Account]],'Account-Overview'!A:A,'Account-Overview'!B:B)</f>
        <v>COGS (NL)</v>
      </c>
      <c r="F72" s="10">
        <v>-940569.68295495713</v>
      </c>
    </row>
    <row r="73" spans="1:6" x14ac:dyDescent="0.25">
      <c r="A73">
        <v>2024</v>
      </c>
      <c r="B73">
        <v>2211200003</v>
      </c>
      <c r="C73" s="4" t="s">
        <v>88</v>
      </c>
      <c r="D73" s="4" t="s">
        <v>12</v>
      </c>
      <c r="E73" t="str">
        <f>_xlfn.XLOOKUP(tActuals_1[[#This Row],[Account]],'Account-Overview'!A:A,'Account-Overview'!B:B)</f>
        <v>COGS (NL)</v>
      </c>
      <c r="F73" s="10">
        <v>-919269.08173384296</v>
      </c>
    </row>
    <row r="74" spans="1:6" x14ac:dyDescent="0.25">
      <c r="A74">
        <v>2024</v>
      </c>
      <c r="B74">
        <v>2201201000</v>
      </c>
      <c r="C74" s="4" t="s">
        <v>77</v>
      </c>
      <c r="D74" s="4" t="s">
        <v>13</v>
      </c>
      <c r="E74" t="str">
        <f>_xlfn.XLOOKUP(tActuals_1[[#This Row],[Account]],'Account-Overview'!A:A,'Account-Overview'!B:B)</f>
        <v>COGS (Others)</v>
      </c>
      <c r="F74" s="10">
        <v>-11398.766246217199</v>
      </c>
    </row>
    <row r="75" spans="1:6" x14ac:dyDescent="0.25">
      <c r="A75">
        <v>2024</v>
      </c>
      <c r="B75">
        <v>2201201000</v>
      </c>
      <c r="C75" s="4" t="s">
        <v>78</v>
      </c>
      <c r="D75" s="4" t="s">
        <v>2</v>
      </c>
      <c r="E75" t="str">
        <f>_xlfn.XLOOKUP(tActuals_1[[#This Row],[Account]],'Account-Overview'!A:A,'Account-Overview'!B:B)</f>
        <v>COGS (Others)</v>
      </c>
      <c r="F75" s="10">
        <v>-8839.5312757342381</v>
      </c>
    </row>
    <row r="76" spans="1:6" x14ac:dyDescent="0.25">
      <c r="A76">
        <v>2024</v>
      </c>
      <c r="B76">
        <v>2201201000</v>
      </c>
      <c r="C76" s="4" t="s">
        <v>79</v>
      </c>
      <c r="D76" s="4" t="s">
        <v>3</v>
      </c>
      <c r="E76" t="str">
        <f>_xlfn.XLOOKUP(tActuals_1[[#This Row],[Account]],'Account-Overview'!A:A,'Account-Overview'!B:B)</f>
        <v>COGS (Others)</v>
      </c>
      <c r="F76" s="10">
        <v>-11413.751431754767</v>
      </c>
    </row>
    <row r="77" spans="1:6" x14ac:dyDescent="0.25">
      <c r="A77">
        <v>2024</v>
      </c>
      <c r="B77">
        <v>2201201000</v>
      </c>
      <c r="C77" s="4" t="s">
        <v>80</v>
      </c>
      <c r="D77" s="4" t="s">
        <v>4</v>
      </c>
      <c r="E77" t="str">
        <f>_xlfn.XLOOKUP(tActuals_1[[#This Row],[Account]],'Account-Overview'!A:A,'Account-Overview'!B:B)</f>
        <v>COGS (Others)</v>
      </c>
      <c r="F77" s="10">
        <v>-12483.943369729634</v>
      </c>
    </row>
    <row r="78" spans="1:6" x14ac:dyDescent="0.25">
      <c r="A78">
        <v>2024</v>
      </c>
      <c r="B78">
        <v>2201201000</v>
      </c>
      <c r="C78" s="4" t="s">
        <v>81</v>
      </c>
      <c r="D78" s="4" t="s">
        <v>5</v>
      </c>
      <c r="E78" t="str">
        <f>_xlfn.XLOOKUP(tActuals_1[[#This Row],[Account]],'Account-Overview'!A:A,'Account-Overview'!B:B)</f>
        <v>COGS (Others)</v>
      </c>
      <c r="F78" s="10">
        <v>-11682.298274725941</v>
      </c>
    </row>
    <row r="79" spans="1:6" x14ac:dyDescent="0.25">
      <c r="A79">
        <v>2024</v>
      </c>
      <c r="B79">
        <v>2201201000</v>
      </c>
      <c r="C79" s="4" t="s">
        <v>82</v>
      </c>
      <c r="D79" s="4" t="s">
        <v>6</v>
      </c>
      <c r="E79" t="str">
        <f>_xlfn.XLOOKUP(tActuals_1[[#This Row],[Account]],'Account-Overview'!A:A,'Account-Overview'!B:B)</f>
        <v>COGS (Others)</v>
      </c>
      <c r="F79" s="10">
        <v>-11405.38670121858</v>
      </c>
    </row>
    <row r="80" spans="1:6" x14ac:dyDescent="0.25">
      <c r="A80">
        <v>2024</v>
      </c>
      <c r="B80">
        <v>2201201000</v>
      </c>
      <c r="C80" s="4" t="s">
        <v>83</v>
      </c>
      <c r="D80" s="4" t="s">
        <v>7</v>
      </c>
      <c r="E80" t="str">
        <f>_xlfn.XLOOKUP(tActuals_1[[#This Row],[Account]],'Account-Overview'!A:A,'Account-Overview'!B:B)</f>
        <v>COGS (Others)</v>
      </c>
      <c r="F80" s="10">
        <v>-8858.3160090997208</v>
      </c>
    </row>
    <row r="81" spans="1:6" x14ac:dyDescent="0.25">
      <c r="A81">
        <v>2024</v>
      </c>
      <c r="B81">
        <v>2201201000</v>
      </c>
      <c r="C81" s="4" t="s">
        <v>84</v>
      </c>
      <c r="D81" s="4" t="s">
        <v>8</v>
      </c>
      <c r="E81" t="str">
        <f>_xlfn.XLOOKUP(tActuals_1[[#This Row],[Account]],'Account-Overview'!A:A,'Account-Overview'!B:B)</f>
        <v>COGS (Others)</v>
      </c>
      <c r="F81" s="10">
        <v>-6168.2206145791097</v>
      </c>
    </row>
    <row r="82" spans="1:6" x14ac:dyDescent="0.25">
      <c r="A82">
        <v>2024</v>
      </c>
      <c r="B82">
        <v>2201201000</v>
      </c>
      <c r="C82" s="4" t="s">
        <v>85</v>
      </c>
      <c r="D82" s="4" t="s">
        <v>9</v>
      </c>
      <c r="E82" t="str">
        <f>_xlfn.XLOOKUP(tActuals_1[[#This Row],[Account]],'Account-Overview'!A:A,'Account-Overview'!B:B)</f>
        <v>COGS (Others)</v>
      </c>
      <c r="F82" s="10">
        <v>-9898.6360629322153</v>
      </c>
    </row>
    <row r="83" spans="1:6" x14ac:dyDescent="0.25">
      <c r="A83">
        <v>2024</v>
      </c>
      <c r="B83">
        <v>2201201000</v>
      </c>
      <c r="C83" s="4" t="s">
        <v>86</v>
      </c>
      <c r="D83" s="4" t="s">
        <v>10</v>
      </c>
      <c r="E83" t="str">
        <f>_xlfn.XLOOKUP(tActuals_1[[#This Row],[Account]],'Account-Overview'!A:A,'Account-Overview'!B:B)</f>
        <v>COGS (Others)</v>
      </c>
      <c r="F83" s="10">
        <v>-11587.221695428991</v>
      </c>
    </row>
    <row r="84" spans="1:6" x14ac:dyDescent="0.25">
      <c r="A84">
        <v>2024</v>
      </c>
      <c r="B84">
        <v>2201201000</v>
      </c>
      <c r="C84" s="4" t="s">
        <v>87</v>
      </c>
      <c r="D84" s="4" t="s">
        <v>11</v>
      </c>
      <c r="E84" t="str">
        <f>_xlfn.XLOOKUP(tActuals_1[[#This Row],[Account]],'Account-Overview'!A:A,'Account-Overview'!B:B)</f>
        <v>COGS (Others)</v>
      </c>
      <c r="F84" s="10">
        <v>-11659.33904019412</v>
      </c>
    </row>
    <row r="85" spans="1:6" x14ac:dyDescent="0.25">
      <c r="A85">
        <v>2024</v>
      </c>
      <c r="B85">
        <v>2201201000</v>
      </c>
      <c r="C85" s="4" t="s">
        <v>88</v>
      </c>
      <c r="D85" s="4" t="s">
        <v>12</v>
      </c>
      <c r="E85" t="str">
        <f>_xlfn.XLOOKUP(tActuals_1[[#This Row],[Account]],'Account-Overview'!A:A,'Account-Overview'!B:B)</f>
        <v>COGS (Others)</v>
      </c>
      <c r="F85" s="10">
        <v>-11282.471231553485</v>
      </c>
    </row>
    <row r="86" spans="1:6" x14ac:dyDescent="0.25">
      <c r="A86">
        <v>2024</v>
      </c>
      <c r="B86">
        <v>2690200007</v>
      </c>
      <c r="C86" s="4" t="s">
        <v>77</v>
      </c>
      <c r="D86" s="4" t="s">
        <v>13</v>
      </c>
      <c r="E86" t="str">
        <f>_xlfn.XLOOKUP(tActuals_1[[#This Row],[Account]],'Account-Overview'!A:A,'Account-Overview'!B:B)</f>
        <v>Payment (PayPal)</v>
      </c>
      <c r="F86" s="10">
        <v>-317875.15393591078</v>
      </c>
    </row>
    <row r="87" spans="1:6" x14ac:dyDescent="0.25">
      <c r="A87">
        <v>2024</v>
      </c>
      <c r="B87">
        <v>2690200007</v>
      </c>
      <c r="C87" s="4" t="s">
        <v>78</v>
      </c>
      <c r="D87" s="4" t="s">
        <v>2</v>
      </c>
      <c r="E87" t="str">
        <f>_xlfn.XLOOKUP(tActuals_1[[#This Row],[Account]],'Account-Overview'!A:A,'Account-Overview'!B:B)</f>
        <v>Payment (PayPal)</v>
      </c>
      <c r="F87" s="10">
        <v>-409768.75901953521</v>
      </c>
    </row>
    <row r="88" spans="1:6" x14ac:dyDescent="0.25">
      <c r="A88">
        <v>2024</v>
      </c>
      <c r="B88">
        <v>2690200007</v>
      </c>
      <c r="C88" s="4" t="s">
        <v>79</v>
      </c>
      <c r="D88" s="4" t="s">
        <v>3</v>
      </c>
      <c r="E88" t="str">
        <f>_xlfn.XLOOKUP(tActuals_1[[#This Row],[Account]],'Account-Overview'!A:A,'Account-Overview'!B:B)</f>
        <v>Payment (PayPal)</v>
      </c>
      <c r="F88" s="10">
        <v>-568307.7391289206</v>
      </c>
    </row>
    <row r="89" spans="1:6" x14ac:dyDescent="0.25">
      <c r="A89">
        <v>2024</v>
      </c>
      <c r="B89">
        <v>2690200007</v>
      </c>
      <c r="C89" s="4" t="s">
        <v>80</v>
      </c>
      <c r="D89" s="4" t="s">
        <v>4</v>
      </c>
      <c r="E89" t="str">
        <f>_xlfn.XLOOKUP(tActuals_1[[#This Row],[Account]],'Account-Overview'!A:A,'Account-Overview'!B:B)</f>
        <v>Payment (PayPal)</v>
      </c>
      <c r="F89" s="10">
        <v>-511261.6976856743</v>
      </c>
    </row>
    <row r="90" spans="1:6" x14ac:dyDescent="0.25">
      <c r="A90">
        <v>2024</v>
      </c>
      <c r="B90">
        <v>2690200007</v>
      </c>
      <c r="C90" s="4" t="s">
        <v>81</v>
      </c>
      <c r="D90" s="4" t="s">
        <v>5</v>
      </c>
      <c r="E90" t="str">
        <f>_xlfn.XLOOKUP(tActuals_1[[#This Row],[Account]],'Account-Overview'!A:A,'Account-Overview'!B:B)</f>
        <v>Payment (PayPal)</v>
      </c>
      <c r="F90" s="10">
        <v>-467668.52780748886</v>
      </c>
    </row>
    <row r="91" spans="1:6" x14ac:dyDescent="0.25">
      <c r="A91">
        <v>2024</v>
      </c>
      <c r="B91">
        <v>2690200007</v>
      </c>
      <c r="C91" s="4" t="s">
        <v>82</v>
      </c>
      <c r="D91" s="4" t="s">
        <v>6</v>
      </c>
      <c r="E91" t="str">
        <f>_xlfn.XLOOKUP(tActuals_1[[#This Row],[Account]],'Account-Overview'!A:A,'Account-Overview'!B:B)</f>
        <v>Payment (PayPal)</v>
      </c>
      <c r="F91" s="10">
        <v>-381856.68402023375</v>
      </c>
    </row>
    <row r="92" spans="1:6" x14ac:dyDescent="0.25">
      <c r="A92">
        <v>2024</v>
      </c>
      <c r="B92">
        <v>2690200007</v>
      </c>
      <c r="C92" s="4" t="s">
        <v>83</v>
      </c>
      <c r="D92" s="4" t="s">
        <v>7</v>
      </c>
      <c r="E92" t="str">
        <f>_xlfn.XLOOKUP(tActuals_1[[#This Row],[Account]],'Account-Overview'!A:A,'Account-Overview'!B:B)</f>
        <v>Payment (PayPal)</v>
      </c>
      <c r="F92" s="10">
        <v>-285451.89651801134</v>
      </c>
    </row>
    <row r="93" spans="1:6" x14ac:dyDescent="0.25">
      <c r="A93">
        <v>2024</v>
      </c>
      <c r="B93">
        <v>2690200007</v>
      </c>
      <c r="C93" s="4" t="s">
        <v>84</v>
      </c>
      <c r="D93" s="4" t="s">
        <v>8</v>
      </c>
      <c r="E93" t="str">
        <f>_xlfn.XLOOKUP(tActuals_1[[#This Row],[Account]],'Account-Overview'!A:A,'Account-Overview'!B:B)</f>
        <v>Payment (PayPal)</v>
      </c>
      <c r="F93" s="10">
        <v>-344870.89313454035</v>
      </c>
    </row>
    <row r="94" spans="1:6" x14ac:dyDescent="0.25">
      <c r="A94">
        <v>2024</v>
      </c>
      <c r="B94">
        <v>2690200007</v>
      </c>
      <c r="C94" s="4" t="s">
        <v>85</v>
      </c>
      <c r="D94" s="4" t="s">
        <v>9</v>
      </c>
      <c r="E94" t="str">
        <f>_xlfn.XLOOKUP(tActuals_1[[#This Row],[Account]],'Account-Overview'!A:A,'Account-Overview'!B:B)</f>
        <v>Payment (PayPal)</v>
      </c>
      <c r="F94" s="10">
        <v>-596806.46392799029</v>
      </c>
    </row>
    <row r="95" spans="1:6" x14ac:dyDescent="0.25">
      <c r="A95">
        <v>2024</v>
      </c>
      <c r="B95">
        <v>2690200007</v>
      </c>
      <c r="C95" s="4" t="s">
        <v>86</v>
      </c>
      <c r="D95" s="4" t="s">
        <v>10</v>
      </c>
      <c r="E95" t="str">
        <f>_xlfn.XLOOKUP(tActuals_1[[#This Row],[Account]],'Account-Overview'!A:A,'Account-Overview'!B:B)</f>
        <v>Payment (PayPal)</v>
      </c>
      <c r="F95" s="10">
        <v>-546218.24839118612</v>
      </c>
    </row>
    <row r="96" spans="1:6" x14ac:dyDescent="0.25">
      <c r="A96">
        <v>2024</v>
      </c>
      <c r="B96">
        <v>2690200007</v>
      </c>
      <c r="C96" s="4" t="s">
        <v>87</v>
      </c>
      <c r="D96" s="4" t="s">
        <v>11</v>
      </c>
      <c r="E96" t="str">
        <f>_xlfn.XLOOKUP(tActuals_1[[#This Row],[Account]],'Account-Overview'!A:A,'Account-Overview'!B:B)</f>
        <v>Payment (PayPal)</v>
      </c>
      <c r="F96" s="10">
        <v>-589848.29245393933</v>
      </c>
    </row>
    <row r="97" spans="1:6" x14ac:dyDescent="0.25">
      <c r="A97">
        <v>2024</v>
      </c>
      <c r="B97">
        <v>2690200007</v>
      </c>
      <c r="C97" s="4" t="s">
        <v>88</v>
      </c>
      <c r="D97" s="4" t="s">
        <v>12</v>
      </c>
      <c r="E97" t="str">
        <f>_xlfn.XLOOKUP(tActuals_1[[#This Row],[Account]],'Account-Overview'!A:A,'Account-Overview'!B:B)</f>
        <v>Payment (PayPal)</v>
      </c>
      <c r="F97" s="10">
        <v>-565735.57611375523</v>
      </c>
    </row>
    <row r="98" spans="1:6" x14ac:dyDescent="0.25">
      <c r="A98">
        <v>2024</v>
      </c>
      <c r="B98">
        <v>2690200010</v>
      </c>
      <c r="C98" s="4" t="s">
        <v>77</v>
      </c>
      <c r="D98" s="4" t="s">
        <v>13</v>
      </c>
      <c r="E98" t="str">
        <f>_xlfn.XLOOKUP(tActuals_1[[#This Row],[Account]],'Account-Overview'!A:A,'Account-Overview'!B:B)</f>
        <v>Payment (Credit Card)</v>
      </c>
      <c r="F98" s="10">
        <v>-67059.167186793871</v>
      </c>
    </row>
    <row r="99" spans="1:6" x14ac:dyDescent="0.25">
      <c r="A99">
        <v>2024</v>
      </c>
      <c r="B99">
        <v>2690200010</v>
      </c>
      <c r="C99" s="4" t="s">
        <v>78</v>
      </c>
      <c r="D99" s="4" t="s">
        <v>2</v>
      </c>
      <c r="E99" t="str">
        <f>_xlfn.XLOOKUP(tActuals_1[[#This Row],[Account]],'Account-Overview'!A:A,'Account-Overview'!B:B)</f>
        <v>Payment (Credit Card)</v>
      </c>
      <c r="F99" s="10">
        <v>-87119.241687380854</v>
      </c>
    </row>
    <row r="100" spans="1:6" x14ac:dyDescent="0.25">
      <c r="A100">
        <v>2024</v>
      </c>
      <c r="B100">
        <v>2690200010</v>
      </c>
      <c r="C100" s="4" t="s">
        <v>79</v>
      </c>
      <c r="D100" s="4" t="s">
        <v>3</v>
      </c>
      <c r="E100" t="str">
        <f>_xlfn.XLOOKUP(tActuals_1[[#This Row],[Account]],'Account-Overview'!A:A,'Account-Overview'!B:B)</f>
        <v>Payment (Credit Card)</v>
      </c>
      <c r="F100" s="10">
        <v>-123829.24404732311</v>
      </c>
    </row>
    <row r="101" spans="1:6" x14ac:dyDescent="0.25">
      <c r="A101">
        <v>2024</v>
      </c>
      <c r="B101">
        <v>2690200010</v>
      </c>
      <c r="C101" s="4" t="s">
        <v>80</v>
      </c>
      <c r="D101" s="4" t="s">
        <v>4</v>
      </c>
      <c r="E101" t="str">
        <f>_xlfn.XLOOKUP(tActuals_1[[#This Row],[Account]],'Account-Overview'!A:A,'Account-Overview'!B:B)</f>
        <v>Payment (Credit Card)</v>
      </c>
      <c r="F101" s="10">
        <v>-118127.48462381828</v>
      </c>
    </row>
    <row r="102" spans="1:6" x14ac:dyDescent="0.25">
      <c r="A102">
        <v>2024</v>
      </c>
      <c r="B102">
        <v>2690200010</v>
      </c>
      <c r="C102" s="4" t="s">
        <v>81</v>
      </c>
      <c r="D102" s="4" t="s">
        <v>5</v>
      </c>
      <c r="E102" t="str">
        <f>_xlfn.XLOOKUP(tActuals_1[[#This Row],[Account]],'Account-Overview'!A:A,'Account-Overview'!B:B)</f>
        <v>Payment (Credit Card)</v>
      </c>
      <c r="F102" s="10">
        <v>-111368.19520867856</v>
      </c>
    </row>
    <row r="103" spans="1:6" x14ac:dyDescent="0.25">
      <c r="A103">
        <v>2024</v>
      </c>
      <c r="B103">
        <v>2690200010</v>
      </c>
      <c r="C103" s="4" t="s">
        <v>82</v>
      </c>
      <c r="D103" s="4" t="s">
        <v>6</v>
      </c>
      <c r="E103" t="str">
        <f>_xlfn.XLOOKUP(tActuals_1[[#This Row],[Account]],'Account-Overview'!A:A,'Account-Overview'!B:B)</f>
        <v>Payment (Credit Card)</v>
      </c>
      <c r="F103" s="10">
        <v>-89145.294525000019</v>
      </c>
    </row>
    <row r="104" spans="1:6" x14ac:dyDescent="0.25">
      <c r="A104">
        <v>2024</v>
      </c>
      <c r="B104">
        <v>2690200010</v>
      </c>
      <c r="C104" s="4" t="s">
        <v>83</v>
      </c>
      <c r="D104" s="4" t="s">
        <v>7</v>
      </c>
      <c r="E104" t="str">
        <f>_xlfn.XLOOKUP(tActuals_1[[#This Row],[Account]],'Account-Overview'!A:A,'Account-Overview'!B:B)</f>
        <v>Payment (Credit Card)</v>
      </c>
      <c r="F104" s="10">
        <v>-65228.702607886691</v>
      </c>
    </row>
    <row r="105" spans="1:6" x14ac:dyDescent="0.25">
      <c r="A105">
        <v>2024</v>
      </c>
      <c r="B105">
        <v>2690200010</v>
      </c>
      <c r="C105" s="4" t="s">
        <v>84</v>
      </c>
      <c r="D105" s="4" t="s">
        <v>8</v>
      </c>
      <c r="E105" t="str">
        <f>_xlfn.XLOOKUP(tActuals_1[[#This Row],[Account]],'Account-Overview'!A:A,'Account-Overview'!B:B)</f>
        <v>Payment (Credit Card)</v>
      </c>
      <c r="F105" s="10">
        <v>-72627.05919597407</v>
      </c>
    </row>
    <row r="106" spans="1:6" x14ac:dyDescent="0.25">
      <c r="A106">
        <v>2024</v>
      </c>
      <c r="B106">
        <v>2690200010</v>
      </c>
      <c r="C106" s="4" t="s">
        <v>85</v>
      </c>
      <c r="D106" s="4" t="s">
        <v>9</v>
      </c>
      <c r="E106" t="str">
        <f>_xlfn.XLOOKUP(tActuals_1[[#This Row],[Account]],'Account-Overview'!A:A,'Account-Overview'!B:B)</f>
        <v>Payment (Credit Card)</v>
      </c>
      <c r="F106" s="10">
        <v>-113058.288</v>
      </c>
    </row>
    <row r="107" spans="1:6" x14ac:dyDescent="0.25">
      <c r="A107">
        <v>2024</v>
      </c>
      <c r="B107">
        <v>2690200010</v>
      </c>
      <c r="C107" s="4" t="s">
        <v>86</v>
      </c>
      <c r="D107" s="4" t="s">
        <v>10</v>
      </c>
      <c r="E107" t="str">
        <f>_xlfn.XLOOKUP(tActuals_1[[#This Row],[Account]],'Account-Overview'!A:A,'Account-Overview'!B:B)</f>
        <v>Payment (Credit Card)</v>
      </c>
      <c r="F107" s="10">
        <v>-120163.84583953067</v>
      </c>
    </row>
    <row r="108" spans="1:6" x14ac:dyDescent="0.25">
      <c r="A108">
        <v>2024</v>
      </c>
      <c r="B108">
        <v>2690200010</v>
      </c>
      <c r="C108" s="4" t="s">
        <v>87</v>
      </c>
      <c r="D108" s="4" t="s">
        <v>11</v>
      </c>
      <c r="E108" t="str">
        <f>_xlfn.XLOOKUP(tActuals_1[[#This Row],[Account]],'Account-Overview'!A:A,'Account-Overview'!B:B)</f>
        <v>Payment (Credit Card)</v>
      </c>
      <c r="F108" s="10">
        <v>-120876.87312739773</v>
      </c>
    </row>
    <row r="109" spans="1:6" x14ac:dyDescent="0.25">
      <c r="A109">
        <v>2024</v>
      </c>
      <c r="B109">
        <v>2690200010</v>
      </c>
      <c r="C109" s="4" t="s">
        <v>88</v>
      </c>
      <c r="D109" s="4" t="s">
        <v>12</v>
      </c>
      <c r="E109" t="str">
        <f>_xlfn.XLOOKUP(tActuals_1[[#This Row],[Account]],'Account-Overview'!A:A,'Account-Overview'!B:B)</f>
        <v>Payment (Credit Card)</v>
      </c>
      <c r="F109" s="10">
        <v>-106978.35630500953</v>
      </c>
    </row>
    <row r="110" spans="1:6" x14ac:dyDescent="0.25">
      <c r="A110">
        <v>2024</v>
      </c>
      <c r="B110">
        <v>2532300000</v>
      </c>
      <c r="C110" s="4" t="s">
        <v>77</v>
      </c>
      <c r="D110" s="4" t="s">
        <v>13</v>
      </c>
      <c r="E110" t="str">
        <f>_xlfn.XLOOKUP(tActuals_1[[#This Row],[Account]],'Account-Overview'!A:A,'Account-Overview'!B:B)</f>
        <v>Warehouse</v>
      </c>
      <c r="F110" s="10">
        <v>-1470207.5748717913</v>
      </c>
    </row>
    <row r="111" spans="1:6" x14ac:dyDescent="0.25">
      <c r="A111">
        <v>2024</v>
      </c>
      <c r="B111">
        <v>2532300000</v>
      </c>
      <c r="C111" s="4" t="s">
        <v>78</v>
      </c>
      <c r="D111" s="4" t="s">
        <v>2</v>
      </c>
      <c r="E111" t="str">
        <f>_xlfn.XLOOKUP(tActuals_1[[#This Row],[Account]],'Account-Overview'!A:A,'Account-Overview'!B:B)</f>
        <v>Warehouse</v>
      </c>
      <c r="F111" s="10">
        <v>-1932725.4307341292</v>
      </c>
    </row>
    <row r="112" spans="1:6" x14ac:dyDescent="0.25">
      <c r="A112">
        <v>2024</v>
      </c>
      <c r="B112">
        <v>2532300000</v>
      </c>
      <c r="C112" s="4" t="s">
        <v>79</v>
      </c>
      <c r="D112" s="4" t="s">
        <v>3</v>
      </c>
      <c r="E112" t="str">
        <f>_xlfn.XLOOKUP(tActuals_1[[#This Row],[Account]],'Account-Overview'!A:A,'Account-Overview'!B:B)</f>
        <v>Warehouse</v>
      </c>
      <c r="F112" s="10">
        <v>-2446516.2337589473</v>
      </c>
    </row>
    <row r="113" spans="1:6" x14ac:dyDescent="0.25">
      <c r="A113">
        <v>2024</v>
      </c>
      <c r="B113">
        <v>2532300000</v>
      </c>
      <c r="C113" s="4" t="s">
        <v>80</v>
      </c>
      <c r="D113" s="4" t="s">
        <v>4</v>
      </c>
      <c r="E113" t="str">
        <f>_xlfn.XLOOKUP(tActuals_1[[#This Row],[Account]],'Account-Overview'!A:A,'Account-Overview'!B:B)</f>
        <v>Warehouse</v>
      </c>
      <c r="F113" s="10">
        <v>-2307060.6568676503</v>
      </c>
    </row>
    <row r="114" spans="1:6" x14ac:dyDescent="0.25">
      <c r="A114">
        <v>2024</v>
      </c>
      <c r="B114">
        <v>2532300000</v>
      </c>
      <c r="C114" s="4" t="s">
        <v>81</v>
      </c>
      <c r="D114" s="4" t="s">
        <v>5</v>
      </c>
      <c r="E114" t="str">
        <f>_xlfn.XLOOKUP(tActuals_1[[#This Row],[Account]],'Account-Overview'!A:A,'Account-Overview'!B:B)</f>
        <v>Warehouse</v>
      </c>
      <c r="F114" s="10">
        <v>-2092614.7626787613</v>
      </c>
    </row>
    <row r="115" spans="1:6" x14ac:dyDescent="0.25">
      <c r="A115">
        <v>2024</v>
      </c>
      <c r="B115">
        <v>2532300000</v>
      </c>
      <c r="C115" s="4" t="s">
        <v>82</v>
      </c>
      <c r="D115" s="4" t="s">
        <v>6</v>
      </c>
      <c r="E115" t="str">
        <f>_xlfn.XLOOKUP(tActuals_1[[#This Row],[Account]],'Account-Overview'!A:A,'Account-Overview'!B:B)</f>
        <v>Warehouse</v>
      </c>
      <c r="F115" s="10">
        <v>-1618297.103107024</v>
      </c>
    </row>
    <row r="116" spans="1:6" x14ac:dyDescent="0.25">
      <c r="A116">
        <v>2024</v>
      </c>
      <c r="B116">
        <v>2532300000</v>
      </c>
      <c r="C116" s="4" t="s">
        <v>83</v>
      </c>
      <c r="D116" s="4" t="s">
        <v>7</v>
      </c>
      <c r="E116" t="str">
        <f>_xlfn.XLOOKUP(tActuals_1[[#This Row],[Account]],'Account-Overview'!A:A,'Account-Overview'!B:B)</f>
        <v>Warehouse</v>
      </c>
      <c r="F116" s="10">
        <v>-1227654.3623487127</v>
      </c>
    </row>
    <row r="117" spans="1:6" x14ac:dyDescent="0.25">
      <c r="A117">
        <v>2024</v>
      </c>
      <c r="B117">
        <v>2532300000</v>
      </c>
      <c r="C117" s="4" t="s">
        <v>84</v>
      </c>
      <c r="D117" s="4" t="s">
        <v>8</v>
      </c>
      <c r="E117" t="str">
        <f>_xlfn.XLOOKUP(tActuals_1[[#This Row],[Account]],'Account-Overview'!A:A,'Account-Overview'!B:B)</f>
        <v>Warehouse</v>
      </c>
      <c r="F117" s="10">
        <v>-1435278.968607926</v>
      </c>
    </row>
    <row r="118" spans="1:6" x14ac:dyDescent="0.25">
      <c r="A118">
        <v>2024</v>
      </c>
      <c r="B118">
        <v>2532300000</v>
      </c>
      <c r="C118" s="4" t="s">
        <v>85</v>
      </c>
      <c r="D118" s="4" t="s">
        <v>9</v>
      </c>
      <c r="E118" t="str">
        <f>_xlfn.XLOOKUP(tActuals_1[[#This Row],[Account]],'Account-Overview'!A:A,'Account-Overview'!B:B)</f>
        <v>Warehouse</v>
      </c>
      <c r="F118" s="10">
        <v>-2829668.0311388834</v>
      </c>
    </row>
    <row r="119" spans="1:6" x14ac:dyDescent="0.25">
      <c r="A119">
        <v>2024</v>
      </c>
      <c r="B119">
        <v>2532300000</v>
      </c>
      <c r="C119" s="4" t="s">
        <v>86</v>
      </c>
      <c r="D119" s="4" t="s">
        <v>10</v>
      </c>
      <c r="E119" t="str">
        <f>_xlfn.XLOOKUP(tActuals_1[[#This Row],[Account]],'Account-Overview'!A:A,'Account-Overview'!B:B)</f>
        <v>Warehouse</v>
      </c>
      <c r="F119" s="10">
        <v>-2625300.9409412681</v>
      </c>
    </row>
    <row r="120" spans="1:6" x14ac:dyDescent="0.25">
      <c r="A120">
        <v>2024</v>
      </c>
      <c r="B120">
        <v>2532300000</v>
      </c>
      <c r="C120" s="4" t="s">
        <v>87</v>
      </c>
      <c r="D120" s="4" t="s">
        <v>11</v>
      </c>
      <c r="E120" t="str">
        <f>_xlfn.XLOOKUP(tActuals_1[[#This Row],[Account]],'Account-Overview'!A:A,'Account-Overview'!B:B)</f>
        <v>Warehouse</v>
      </c>
      <c r="F120" s="10">
        <v>-2833429.9650960444</v>
      </c>
    </row>
    <row r="121" spans="1:6" x14ac:dyDescent="0.25">
      <c r="A121">
        <v>2024</v>
      </c>
      <c r="B121">
        <v>2532300000</v>
      </c>
      <c r="C121" s="4" t="s">
        <v>88</v>
      </c>
      <c r="D121" s="4" t="s">
        <v>12</v>
      </c>
      <c r="E121" t="str">
        <f>_xlfn.XLOOKUP(tActuals_1[[#This Row],[Account]],'Account-Overview'!A:A,'Account-Overview'!B:B)</f>
        <v>Warehouse</v>
      </c>
      <c r="F121" s="10">
        <v>-2614443.6068102433</v>
      </c>
    </row>
    <row r="122" spans="1:6" x14ac:dyDescent="0.25">
      <c r="A122">
        <v>2024</v>
      </c>
      <c r="B122">
        <v>2530200000</v>
      </c>
      <c r="C122" s="4" t="s">
        <v>77</v>
      </c>
      <c r="D122" s="4" t="s">
        <v>13</v>
      </c>
      <c r="E122" t="str">
        <f>_xlfn.XLOOKUP(tActuals_1[[#This Row],[Account]],'Account-Overview'!A:A,'Account-Overview'!B:B)</f>
        <v>Distribution (Different Carriers)</v>
      </c>
      <c r="F122" s="10">
        <v>-2543367.9942725478</v>
      </c>
    </row>
    <row r="123" spans="1:6" x14ac:dyDescent="0.25">
      <c r="A123">
        <v>2024</v>
      </c>
      <c r="B123">
        <v>2530200000</v>
      </c>
      <c r="C123" s="4" t="s">
        <v>78</v>
      </c>
      <c r="D123" s="4" t="s">
        <v>2</v>
      </c>
      <c r="E123" t="str">
        <f>_xlfn.XLOOKUP(tActuals_1[[#This Row],[Account]],'Account-Overview'!A:A,'Account-Overview'!B:B)</f>
        <v>Distribution (Different Carriers)</v>
      </c>
      <c r="F123" s="10">
        <v>-3367126.0614075279</v>
      </c>
    </row>
    <row r="124" spans="1:6" x14ac:dyDescent="0.25">
      <c r="A124">
        <v>2024</v>
      </c>
      <c r="B124">
        <v>2530200000</v>
      </c>
      <c r="C124" s="4" t="s">
        <v>79</v>
      </c>
      <c r="D124" s="4" t="s">
        <v>3</v>
      </c>
      <c r="E124" t="str">
        <f>_xlfn.XLOOKUP(tActuals_1[[#This Row],[Account]],'Account-Overview'!A:A,'Account-Overview'!B:B)</f>
        <v>Distribution (Different Carriers)</v>
      </c>
      <c r="F124" s="10">
        <v>-4541273.1791659035</v>
      </c>
    </row>
    <row r="125" spans="1:6" x14ac:dyDescent="0.25">
      <c r="A125">
        <v>2024</v>
      </c>
      <c r="B125">
        <v>2530200000</v>
      </c>
      <c r="C125" s="4" t="s">
        <v>80</v>
      </c>
      <c r="D125" s="4" t="s">
        <v>4</v>
      </c>
      <c r="E125" t="str">
        <f>_xlfn.XLOOKUP(tActuals_1[[#This Row],[Account]],'Account-Overview'!A:A,'Account-Overview'!B:B)</f>
        <v>Distribution (Different Carriers)</v>
      </c>
      <c r="F125" s="10">
        <v>-4159371.2398202647</v>
      </c>
    </row>
    <row r="126" spans="1:6" x14ac:dyDescent="0.25">
      <c r="A126">
        <v>2024</v>
      </c>
      <c r="B126">
        <v>2530200000</v>
      </c>
      <c r="C126" s="4" t="s">
        <v>81</v>
      </c>
      <c r="D126" s="4" t="s">
        <v>5</v>
      </c>
      <c r="E126" t="str">
        <f>_xlfn.XLOOKUP(tActuals_1[[#This Row],[Account]],'Account-Overview'!A:A,'Account-Overview'!B:B)</f>
        <v>Distribution (Different Carriers)</v>
      </c>
      <c r="F126" s="10">
        <v>-3748647.2542714346</v>
      </c>
    </row>
    <row r="127" spans="1:6" x14ac:dyDescent="0.25">
      <c r="A127">
        <v>2024</v>
      </c>
      <c r="B127">
        <v>2530200000</v>
      </c>
      <c r="C127" s="4" t="s">
        <v>82</v>
      </c>
      <c r="D127" s="4" t="s">
        <v>6</v>
      </c>
      <c r="E127" t="str">
        <f>_xlfn.XLOOKUP(tActuals_1[[#This Row],[Account]],'Account-Overview'!A:A,'Account-Overview'!B:B)</f>
        <v>Distribution (Different Carriers)</v>
      </c>
      <c r="F127" s="10">
        <v>-2917515.752655949</v>
      </c>
    </row>
    <row r="128" spans="1:6" x14ac:dyDescent="0.25">
      <c r="A128">
        <v>2024</v>
      </c>
      <c r="B128">
        <v>2530200000</v>
      </c>
      <c r="C128" s="4" t="s">
        <v>83</v>
      </c>
      <c r="D128" s="4" t="s">
        <v>7</v>
      </c>
      <c r="E128" t="str">
        <f>_xlfn.XLOOKUP(tActuals_1[[#This Row],[Account]],'Account-Overview'!A:A,'Account-Overview'!B:B)</f>
        <v>Distribution (Different Carriers)</v>
      </c>
      <c r="F128" s="10">
        <v>-2140880.4458391913</v>
      </c>
    </row>
    <row r="129" spans="1:6" x14ac:dyDescent="0.25">
      <c r="A129">
        <v>2024</v>
      </c>
      <c r="B129">
        <v>2530200000</v>
      </c>
      <c r="C129" s="4" t="s">
        <v>84</v>
      </c>
      <c r="D129" s="4" t="s">
        <v>8</v>
      </c>
      <c r="E129" t="str">
        <f>_xlfn.XLOOKUP(tActuals_1[[#This Row],[Account]],'Account-Overview'!A:A,'Account-Overview'!B:B)</f>
        <v>Distribution (Different Carriers)</v>
      </c>
      <c r="F129" s="10">
        <v>-2608054.5929596364</v>
      </c>
    </row>
    <row r="130" spans="1:6" x14ac:dyDescent="0.25">
      <c r="A130">
        <v>2024</v>
      </c>
      <c r="B130">
        <v>2530200000</v>
      </c>
      <c r="C130" s="4" t="s">
        <v>85</v>
      </c>
      <c r="D130" s="4" t="s">
        <v>9</v>
      </c>
      <c r="E130" t="str">
        <f>_xlfn.XLOOKUP(tActuals_1[[#This Row],[Account]],'Account-Overview'!A:A,'Account-Overview'!B:B)</f>
        <v>Distribution (Different Carriers)</v>
      </c>
      <c r="F130" s="10">
        <v>-4996800.533738289</v>
      </c>
    </row>
    <row r="131" spans="1:6" x14ac:dyDescent="0.25">
      <c r="A131">
        <v>2024</v>
      </c>
      <c r="B131">
        <v>2530200000</v>
      </c>
      <c r="C131" s="4" t="s">
        <v>86</v>
      </c>
      <c r="D131" s="4" t="s">
        <v>10</v>
      </c>
      <c r="E131" t="str">
        <f>_xlfn.XLOOKUP(tActuals_1[[#This Row],[Account]],'Account-Overview'!A:A,'Account-Overview'!B:B)</f>
        <v>Distribution (Different Carriers)</v>
      </c>
      <c r="F131" s="10">
        <v>-4648491.5434395829</v>
      </c>
    </row>
    <row r="132" spans="1:6" x14ac:dyDescent="0.25">
      <c r="A132">
        <v>2024</v>
      </c>
      <c r="B132">
        <v>2530200000</v>
      </c>
      <c r="C132" s="4" t="s">
        <v>87</v>
      </c>
      <c r="D132" s="4" t="s">
        <v>11</v>
      </c>
      <c r="E132" t="str">
        <f>_xlfn.XLOOKUP(tActuals_1[[#This Row],[Account]],'Account-Overview'!A:A,'Account-Overview'!B:B)</f>
        <v>Distribution (Different Carriers)</v>
      </c>
      <c r="F132" s="10">
        <v>-4971882.1149100009</v>
      </c>
    </row>
    <row r="133" spans="1:6" x14ac:dyDescent="0.25">
      <c r="A133">
        <v>2024</v>
      </c>
      <c r="B133">
        <v>2530200000</v>
      </c>
      <c r="C133" s="4" t="s">
        <v>88</v>
      </c>
      <c r="D133" s="4" t="s">
        <v>12</v>
      </c>
      <c r="E133" t="str">
        <f>_xlfn.XLOOKUP(tActuals_1[[#This Row],[Account]],'Account-Overview'!A:A,'Account-Overview'!B:B)</f>
        <v>Distribution (Different Carriers)</v>
      </c>
      <c r="F133" s="10">
        <v>-4596069.2711621691</v>
      </c>
    </row>
    <row r="134" spans="1:6" x14ac:dyDescent="0.25">
      <c r="A134">
        <v>2024</v>
      </c>
      <c r="B134">
        <v>2530300000</v>
      </c>
      <c r="C134" s="4" t="s">
        <v>77</v>
      </c>
      <c r="D134" s="4" t="s">
        <v>13</v>
      </c>
      <c r="E134" t="str">
        <f>_xlfn.XLOOKUP(tActuals_1[[#This Row],[Account]],'Account-Overview'!A:A,'Account-Overview'!B:B)</f>
        <v>Distribution (Package Material)</v>
      </c>
      <c r="F134" s="10">
        <v>-154319.04551857413</v>
      </c>
    </row>
    <row r="135" spans="1:6" x14ac:dyDescent="0.25">
      <c r="A135">
        <v>2024</v>
      </c>
      <c r="B135">
        <v>2530300000</v>
      </c>
      <c r="C135" s="4" t="s">
        <v>78</v>
      </c>
      <c r="D135" s="4" t="s">
        <v>2</v>
      </c>
      <c r="E135" t="str">
        <f>_xlfn.XLOOKUP(tActuals_1[[#This Row],[Account]],'Account-Overview'!A:A,'Account-Overview'!B:B)</f>
        <v>Distribution (Package Material)</v>
      </c>
      <c r="F135" s="10">
        <v>-138813.11712647995</v>
      </c>
    </row>
    <row r="136" spans="1:6" x14ac:dyDescent="0.25">
      <c r="A136">
        <v>2024</v>
      </c>
      <c r="B136">
        <v>2530300000</v>
      </c>
      <c r="C136" s="4" t="s">
        <v>79</v>
      </c>
      <c r="D136" s="4" t="s">
        <v>3</v>
      </c>
      <c r="E136" t="str">
        <f>_xlfn.XLOOKUP(tActuals_1[[#This Row],[Account]],'Account-Overview'!A:A,'Account-Overview'!B:B)</f>
        <v>Distribution (Package Material)</v>
      </c>
      <c r="F136" s="10">
        <v>-181299.37930454346</v>
      </c>
    </row>
    <row r="137" spans="1:6" x14ac:dyDescent="0.25">
      <c r="A137">
        <v>2024</v>
      </c>
      <c r="B137">
        <v>2530300000</v>
      </c>
      <c r="C137" s="4" t="s">
        <v>80</v>
      </c>
      <c r="D137" s="4" t="s">
        <v>4</v>
      </c>
      <c r="E137" t="str">
        <f>_xlfn.XLOOKUP(tActuals_1[[#This Row],[Account]],'Account-Overview'!A:A,'Account-Overview'!B:B)</f>
        <v>Distribution (Package Material)</v>
      </c>
      <c r="F137" s="10">
        <v>-177292.37985036781</v>
      </c>
    </row>
    <row r="138" spans="1:6" x14ac:dyDescent="0.25">
      <c r="A138">
        <v>2024</v>
      </c>
      <c r="B138">
        <v>2530300000</v>
      </c>
      <c r="C138" s="4" t="s">
        <v>81</v>
      </c>
      <c r="D138" s="4" t="s">
        <v>5</v>
      </c>
      <c r="E138" t="str">
        <f>_xlfn.XLOOKUP(tActuals_1[[#This Row],[Account]],'Account-Overview'!A:A,'Account-Overview'!B:B)</f>
        <v>Distribution (Package Material)</v>
      </c>
      <c r="F138" s="10">
        <v>-165542.04224487388</v>
      </c>
    </row>
    <row r="139" spans="1:6" x14ac:dyDescent="0.25">
      <c r="A139">
        <v>2024</v>
      </c>
      <c r="B139">
        <v>2530300000</v>
      </c>
      <c r="C139" s="4" t="s">
        <v>82</v>
      </c>
      <c r="D139" s="4" t="s">
        <v>6</v>
      </c>
      <c r="E139" t="str">
        <f>_xlfn.XLOOKUP(tActuals_1[[#This Row],[Account]],'Account-Overview'!A:A,'Account-Overview'!B:B)</f>
        <v>Distribution (Package Material)</v>
      </c>
      <c r="F139" s="10">
        <v>-180245.45721077503</v>
      </c>
    </row>
    <row r="140" spans="1:6" x14ac:dyDescent="0.25">
      <c r="A140">
        <v>2024</v>
      </c>
      <c r="B140">
        <v>2530300000</v>
      </c>
      <c r="C140" s="4" t="s">
        <v>83</v>
      </c>
      <c r="D140" s="4" t="s">
        <v>7</v>
      </c>
      <c r="E140" t="str">
        <f>_xlfn.XLOOKUP(tActuals_1[[#This Row],[Account]],'Account-Overview'!A:A,'Account-Overview'!B:B)</f>
        <v>Distribution (Package Material)</v>
      </c>
      <c r="F140" s="10">
        <v>-147634.98828176677</v>
      </c>
    </row>
    <row r="141" spans="1:6" x14ac:dyDescent="0.25">
      <c r="A141">
        <v>2024</v>
      </c>
      <c r="B141">
        <v>2530300000</v>
      </c>
      <c r="C141" s="4" t="s">
        <v>84</v>
      </c>
      <c r="D141" s="4" t="s">
        <v>8</v>
      </c>
      <c r="E141" t="str">
        <f>_xlfn.XLOOKUP(tActuals_1[[#This Row],[Account]],'Account-Overview'!A:A,'Account-Overview'!B:B)</f>
        <v>Distribution (Package Material)</v>
      </c>
      <c r="F141" s="10">
        <v>-106385.89161922825</v>
      </c>
    </row>
    <row r="142" spans="1:6" x14ac:dyDescent="0.25">
      <c r="A142">
        <v>2024</v>
      </c>
      <c r="B142">
        <v>2530300000</v>
      </c>
      <c r="C142" s="4" t="s">
        <v>85</v>
      </c>
      <c r="D142" s="4" t="s">
        <v>9</v>
      </c>
      <c r="E142" t="str">
        <f>_xlfn.XLOOKUP(tActuals_1[[#This Row],[Account]],'Account-Overview'!A:A,'Account-Overview'!B:B)</f>
        <v>Distribution (Package Material)</v>
      </c>
      <c r="F142" s="10">
        <v>-134150.11548120002</v>
      </c>
    </row>
    <row r="143" spans="1:6" x14ac:dyDescent="0.25">
      <c r="A143">
        <v>2024</v>
      </c>
      <c r="B143">
        <v>2530300000</v>
      </c>
      <c r="C143" s="4" t="s">
        <v>86</v>
      </c>
      <c r="D143" s="4" t="s">
        <v>10</v>
      </c>
      <c r="E143" t="str">
        <f>_xlfn.XLOOKUP(tActuals_1[[#This Row],[Account]],'Account-Overview'!A:A,'Account-Overview'!B:B)</f>
        <v>Distribution (Package Material)</v>
      </c>
      <c r="F143" s="10">
        <v>-155344.32453843046</v>
      </c>
    </row>
    <row r="144" spans="1:6" x14ac:dyDescent="0.25">
      <c r="A144">
        <v>2024</v>
      </c>
      <c r="B144">
        <v>2530300000</v>
      </c>
      <c r="C144" s="4" t="s">
        <v>87</v>
      </c>
      <c r="D144" s="4" t="s">
        <v>11</v>
      </c>
      <c r="E144" t="str">
        <f>_xlfn.XLOOKUP(tActuals_1[[#This Row],[Account]],'Account-Overview'!A:A,'Account-Overview'!B:B)</f>
        <v>Distribution (Package Material)</v>
      </c>
      <c r="F144" s="10">
        <v>-184420.57522695707</v>
      </c>
    </row>
    <row r="145" spans="1:6" x14ac:dyDescent="0.25">
      <c r="A145">
        <v>2024</v>
      </c>
      <c r="B145">
        <v>2530300000</v>
      </c>
      <c r="C145" s="4" t="s">
        <v>88</v>
      </c>
      <c r="D145" s="4" t="s">
        <v>12</v>
      </c>
      <c r="E145" t="str">
        <f>_xlfn.XLOOKUP(tActuals_1[[#This Row],[Account]],'Account-Overview'!A:A,'Account-Overview'!B:B)</f>
        <v>Distribution (Package Material)</v>
      </c>
      <c r="F145" s="10">
        <v>-175151.39560348619</v>
      </c>
    </row>
    <row r="146" spans="1:6" x14ac:dyDescent="0.25">
      <c r="A146">
        <v>2024</v>
      </c>
      <c r="B146">
        <v>2400210100</v>
      </c>
      <c r="C146" s="4" t="s">
        <v>77</v>
      </c>
      <c r="D146" s="4" t="s">
        <v>13</v>
      </c>
      <c r="E146" t="str">
        <f>_xlfn.XLOOKUP(tActuals_1[[#This Row],[Account]],'Account-Overview'!A:A,'Account-Overview'!B:B)</f>
        <v>Labour (Salaries)</v>
      </c>
      <c r="F146" s="10">
        <v>-1523819.5431297973</v>
      </c>
    </row>
    <row r="147" spans="1:6" x14ac:dyDescent="0.25">
      <c r="A147">
        <v>2024</v>
      </c>
      <c r="B147">
        <v>2400210100</v>
      </c>
      <c r="C147" s="4" t="s">
        <v>78</v>
      </c>
      <c r="D147" s="4" t="s">
        <v>2</v>
      </c>
      <c r="E147" t="str">
        <f>_xlfn.XLOOKUP(tActuals_1[[#This Row],[Account]],'Account-Overview'!A:A,'Account-Overview'!B:B)</f>
        <v>Labour (Salaries)</v>
      </c>
      <c r="F147" s="10">
        <v>-1531111.157527446</v>
      </c>
    </row>
    <row r="148" spans="1:6" x14ac:dyDescent="0.25">
      <c r="A148">
        <v>2024</v>
      </c>
      <c r="B148">
        <v>2400210100</v>
      </c>
      <c r="C148" s="4" t="s">
        <v>79</v>
      </c>
      <c r="D148" s="4" t="s">
        <v>3</v>
      </c>
      <c r="E148" t="str">
        <f>_xlfn.XLOOKUP(tActuals_1[[#This Row],[Account]],'Account-Overview'!A:A,'Account-Overview'!B:B)</f>
        <v>Labour (Salaries)</v>
      </c>
      <c r="F148" s="10">
        <v>-1521637.4677494406</v>
      </c>
    </row>
    <row r="149" spans="1:6" x14ac:dyDescent="0.25">
      <c r="A149">
        <v>2024</v>
      </c>
      <c r="B149">
        <v>2400210100</v>
      </c>
      <c r="C149" s="4" t="s">
        <v>80</v>
      </c>
      <c r="D149" s="4" t="s">
        <v>4</v>
      </c>
      <c r="E149" t="str">
        <f>_xlfn.XLOOKUP(tActuals_1[[#This Row],[Account]],'Account-Overview'!A:A,'Account-Overview'!B:B)</f>
        <v>Labour (Salaries)</v>
      </c>
      <c r="F149" s="10">
        <v>-1512990.6429420649</v>
      </c>
    </row>
    <row r="150" spans="1:6" x14ac:dyDescent="0.25">
      <c r="A150">
        <v>2024</v>
      </c>
      <c r="B150">
        <v>2400210100</v>
      </c>
      <c r="C150" s="4" t="s">
        <v>81</v>
      </c>
      <c r="D150" s="4" t="s">
        <v>5</v>
      </c>
      <c r="E150" t="str">
        <f>_xlfn.XLOOKUP(tActuals_1[[#This Row],[Account]],'Account-Overview'!A:A,'Account-Overview'!B:B)</f>
        <v>Labour (Salaries)</v>
      </c>
      <c r="F150" s="10">
        <v>-1508750.0401583889</v>
      </c>
    </row>
    <row r="151" spans="1:6" x14ac:dyDescent="0.25">
      <c r="A151">
        <v>2024</v>
      </c>
      <c r="B151">
        <v>2400210100</v>
      </c>
      <c r="C151" s="4" t="s">
        <v>82</v>
      </c>
      <c r="D151" s="4" t="s">
        <v>6</v>
      </c>
      <c r="E151" t="str">
        <f>_xlfn.XLOOKUP(tActuals_1[[#This Row],[Account]],'Account-Overview'!A:A,'Account-Overview'!B:B)</f>
        <v>Labour (Salaries)</v>
      </c>
      <c r="F151" s="10">
        <v>-1508440.1684676786</v>
      </c>
    </row>
    <row r="152" spans="1:6" x14ac:dyDescent="0.25">
      <c r="A152">
        <v>2024</v>
      </c>
      <c r="B152">
        <v>2400210100</v>
      </c>
      <c r="C152" s="4" t="s">
        <v>83</v>
      </c>
      <c r="D152" s="4" t="s">
        <v>7</v>
      </c>
      <c r="E152" t="str">
        <f>_xlfn.XLOOKUP(tActuals_1[[#This Row],[Account]],'Account-Overview'!A:A,'Account-Overview'!B:B)</f>
        <v>Labour (Salaries)</v>
      </c>
      <c r="F152" s="10">
        <v>-1507887.838324459</v>
      </c>
    </row>
    <row r="153" spans="1:6" x14ac:dyDescent="0.25">
      <c r="A153">
        <v>2024</v>
      </c>
      <c r="B153">
        <v>2400210100</v>
      </c>
      <c r="C153" s="4" t="s">
        <v>84</v>
      </c>
      <c r="D153" s="4" t="s">
        <v>8</v>
      </c>
      <c r="E153" t="str">
        <f>_xlfn.XLOOKUP(tActuals_1[[#This Row],[Account]],'Account-Overview'!A:A,'Account-Overview'!B:B)</f>
        <v>Labour (Salaries)</v>
      </c>
      <c r="F153" s="10">
        <v>-1511575.2885234079</v>
      </c>
    </row>
    <row r="154" spans="1:6" x14ac:dyDescent="0.25">
      <c r="A154">
        <v>2024</v>
      </c>
      <c r="B154">
        <v>2400210100</v>
      </c>
      <c r="C154" s="4" t="s">
        <v>85</v>
      </c>
      <c r="D154" s="4" t="s">
        <v>9</v>
      </c>
      <c r="E154" t="str">
        <f>_xlfn.XLOOKUP(tActuals_1[[#This Row],[Account]],'Account-Overview'!A:A,'Account-Overview'!B:B)</f>
        <v>Labour (Salaries)</v>
      </c>
      <c r="F154" s="10">
        <v>-1540696.4491838852</v>
      </c>
    </row>
    <row r="155" spans="1:6" x14ac:dyDescent="0.25">
      <c r="A155">
        <v>2024</v>
      </c>
      <c r="B155">
        <v>2400210100</v>
      </c>
      <c r="C155" s="4" t="s">
        <v>86</v>
      </c>
      <c r="D155" s="4" t="s">
        <v>10</v>
      </c>
      <c r="E155" t="str">
        <f>_xlfn.XLOOKUP(tActuals_1[[#This Row],[Account]],'Account-Overview'!A:A,'Account-Overview'!B:B)</f>
        <v>Labour (Salaries)</v>
      </c>
      <c r="F155" s="10">
        <v>-1547838.7569218581</v>
      </c>
    </row>
    <row r="156" spans="1:6" x14ac:dyDescent="0.25">
      <c r="A156">
        <v>2024</v>
      </c>
      <c r="B156">
        <v>2400210100</v>
      </c>
      <c r="C156" s="4" t="s">
        <v>87</v>
      </c>
      <c r="D156" s="4" t="s">
        <v>11</v>
      </c>
      <c r="E156" t="str">
        <f>_xlfn.XLOOKUP(tActuals_1[[#This Row],[Account]],'Account-Overview'!A:A,'Account-Overview'!B:B)</f>
        <v>Labour (Salaries)</v>
      </c>
      <c r="F156" s="10">
        <v>-1548569.43552806</v>
      </c>
    </row>
    <row r="157" spans="1:6" x14ac:dyDescent="0.25">
      <c r="A157">
        <v>2024</v>
      </c>
      <c r="B157">
        <v>2400210100</v>
      </c>
      <c r="C157" s="4" t="s">
        <v>88</v>
      </c>
      <c r="D157" s="4" t="s">
        <v>12</v>
      </c>
      <c r="E157" t="str">
        <f>_xlfn.XLOOKUP(tActuals_1[[#This Row],[Account]],'Account-Overview'!A:A,'Account-Overview'!B:B)</f>
        <v>Labour (Salaries)</v>
      </c>
      <c r="F157" s="10">
        <v>-1550788.6754879931</v>
      </c>
    </row>
    <row r="158" spans="1:6" x14ac:dyDescent="0.25">
      <c r="A158">
        <v>2024</v>
      </c>
      <c r="B158">
        <v>2400210200</v>
      </c>
      <c r="C158" s="4" t="s">
        <v>77</v>
      </c>
      <c r="D158" s="4" t="s">
        <v>13</v>
      </c>
      <c r="E158" t="str">
        <f>_xlfn.XLOOKUP(tActuals_1[[#This Row],[Account]],'Account-Overview'!A:A,'Account-Overview'!B:B)</f>
        <v>Labour (Bonuses)</v>
      </c>
      <c r="F158" s="10">
        <v>-407.01102750000007</v>
      </c>
    </row>
    <row r="159" spans="1:6" x14ac:dyDescent="0.25">
      <c r="A159">
        <v>2024</v>
      </c>
      <c r="B159">
        <v>2400210200</v>
      </c>
      <c r="C159" s="4" t="s">
        <v>78</v>
      </c>
      <c r="D159" s="4" t="s">
        <v>2</v>
      </c>
      <c r="E159" t="str">
        <f>_xlfn.XLOOKUP(tActuals_1[[#This Row],[Account]],'Account-Overview'!A:A,'Account-Overview'!B:B)</f>
        <v>Labour (Bonuses)</v>
      </c>
      <c r="F159" s="10">
        <v>-429.9827298921</v>
      </c>
    </row>
    <row r="160" spans="1:6" x14ac:dyDescent="0.25">
      <c r="A160">
        <v>2024</v>
      </c>
      <c r="B160">
        <v>2400210200</v>
      </c>
      <c r="C160" s="4" t="s">
        <v>79</v>
      </c>
      <c r="D160" s="4" t="s">
        <v>3</v>
      </c>
      <c r="E160" t="str">
        <f>_xlfn.XLOOKUP(tActuals_1[[#This Row],[Account]],'Account-Overview'!A:A,'Account-Overview'!B:B)</f>
        <v>Labour (Bonuses)</v>
      </c>
      <c r="F160" s="10">
        <v>-15309.256958587517</v>
      </c>
    </row>
    <row r="161" spans="1:6" x14ac:dyDescent="0.25">
      <c r="A161">
        <v>2024</v>
      </c>
      <c r="B161">
        <v>2400210200</v>
      </c>
      <c r="C161" s="4" t="s">
        <v>80</v>
      </c>
      <c r="D161" s="4" t="s">
        <v>4</v>
      </c>
      <c r="E161" t="str">
        <f>_xlfn.XLOOKUP(tActuals_1[[#This Row],[Account]],'Account-Overview'!A:A,'Account-Overview'!B:B)</f>
        <v>Labour (Bonuses)</v>
      </c>
      <c r="F161" s="10">
        <v>-582.63859500000012</v>
      </c>
    </row>
    <row r="162" spans="1:6" x14ac:dyDescent="0.25">
      <c r="A162">
        <v>2024</v>
      </c>
      <c r="B162">
        <v>2400210200</v>
      </c>
      <c r="C162" s="4" t="s">
        <v>81</v>
      </c>
      <c r="D162" s="4" t="s">
        <v>5</v>
      </c>
      <c r="E162" t="str">
        <f>_xlfn.XLOOKUP(tActuals_1[[#This Row],[Account]],'Account-Overview'!A:A,'Account-Overview'!B:B)</f>
        <v>Labour (Bonuses)</v>
      </c>
      <c r="F162" s="10">
        <v>-637.2573900000001</v>
      </c>
    </row>
    <row r="163" spans="1:6" x14ac:dyDescent="0.25">
      <c r="A163">
        <v>2024</v>
      </c>
      <c r="B163">
        <v>2400210200</v>
      </c>
      <c r="C163" s="4" t="s">
        <v>82</v>
      </c>
      <c r="D163" s="4" t="s">
        <v>6</v>
      </c>
      <c r="E163" t="str">
        <f>_xlfn.XLOOKUP(tActuals_1[[#This Row],[Account]],'Account-Overview'!A:A,'Account-Overview'!B:B)</f>
        <v>Labour (Bonuses)</v>
      </c>
      <c r="F163" s="10">
        <v>-9051.0420000000013</v>
      </c>
    </row>
    <row r="164" spans="1:6" x14ac:dyDescent="0.25">
      <c r="A164">
        <v>2024</v>
      </c>
      <c r="B164">
        <v>2400210200</v>
      </c>
      <c r="C164" s="4" t="s">
        <v>83</v>
      </c>
      <c r="D164" s="4" t="s">
        <v>7</v>
      </c>
      <c r="E164" t="str">
        <f>_xlfn.XLOOKUP(tActuals_1[[#This Row],[Account]],'Account-Overview'!A:A,'Account-Overview'!B:B)</f>
        <v>Labour (Bonuses)</v>
      </c>
      <c r="F164" s="10">
        <v>-379.34589</v>
      </c>
    </row>
    <row r="165" spans="1:6" x14ac:dyDescent="0.25">
      <c r="A165">
        <v>2024</v>
      </c>
      <c r="B165">
        <v>2400210200</v>
      </c>
      <c r="C165" s="4" t="s">
        <v>84</v>
      </c>
      <c r="D165" s="4" t="s">
        <v>8</v>
      </c>
      <c r="E165" t="str">
        <f>_xlfn.XLOOKUP(tActuals_1[[#This Row],[Account]],'Account-Overview'!A:A,'Account-Overview'!B:B)</f>
        <v>Labour (Bonuses)</v>
      </c>
      <c r="F165" s="10">
        <v>-890.07291450000002</v>
      </c>
    </row>
    <row r="166" spans="1:6" x14ac:dyDescent="0.25">
      <c r="A166">
        <v>2024</v>
      </c>
      <c r="B166">
        <v>2400210200</v>
      </c>
      <c r="C166" s="4" t="s">
        <v>85</v>
      </c>
      <c r="D166" s="4" t="s">
        <v>9</v>
      </c>
      <c r="E166" t="str">
        <f>_xlfn.XLOOKUP(tActuals_1[[#This Row],[Account]],'Account-Overview'!A:A,'Account-Overview'!B:B)</f>
        <v>Labour (Bonuses)</v>
      </c>
      <c r="F166" s="10">
        <v>-26666.753190000007</v>
      </c>
    </row>
    <row r="167" spans="1:6" x14ac:dyDescent="0.25">
      <c r="A167">
        <v>2024</v>
      </c>
      <c r="B167">
        <v>2400210200</v>
      </c>
      <c r="C167" s="4" t="s">
        <v>86</v>
      </c>
      <c r="D167" s="4" t="s">
        <v>10</v>
      </c>
      <c r="E167" t="str">
        <f>_xlfn.XLOOKUP(tActuals_1[[#This Row],[Account]],'Account-Overview'!A:A,'Account-Overview'!B:B)</f>
        <v>Labour (Bonuses)</v>
      </c>
      <c r="F167" s="10">
        <v>-527.99439000000007</v>
      </c>
    </row>
    <row r="168" spans="1:6" x14ac:dyDescent="0.25">
      <c r="A168">
        <v>2024</v>
      </c>
      <c r="B168">
        <v>2400210200</v>
      </c>
      <c r="C168" s="4" t="s">
        <v>87</v>
      </c>
      <c r="D168" s="4" t="s">
        <v>11</v>
      </c>
      <c r="E168" t="str">
        <f>_xlfn.XLOOKUP(tActuals_1[[#This Row],[Account]],'Account-Overview'!A:A,'Account-Overview'!B:B)</f>
        <v>Labour (Bonuses)</v>
      </c>
      <c r="F168" s="10">
        <v>-441.87990000000008</v>
      </c>
    </row>
    <row r="169" spans="1:6" x14ac:dyDescent="0.25">
      <c r="A169">
        <v>2024</v>
      </c>
      <c r="B169">
        <v>2400210200</v>
      </c>
      <c r="C169" s="4" t="s">
        <v>88</v>
      </c>
      <c r="D169" s="4" t="s">
        <v>12</v>
      </c>
      <c r="E169" t="str">
        <f>_xlfn.XLOOKUP(tActuals_1[[#This Row],[Account]],'Account-Overview'!A:A,'Account-Overview'!B:B)</f>
        <v>Labour (Bonuses)</v>
      </c>
      <c r="F169" s="10">
        <v>-89019.466333875011</v>
      </c>
    </row>
    <row r="170" spans="1:6" x14ac:dyDescent="0.25">
      <c r="A170">
        <v>2024</v>
      </c>
      <c r="B170">
        <v>2400210120</v>
      </c>
      <c r="C170" s="4" t="s">
        <v>77</v>
      </c>
      <c r="D170" s="4" t="s">
        <v>13</v>
      </c>
      <c r="E170" t="str">
        <f>_xlfn.XLOOKUP(tActuals_1[[#This Row],[Account]],'Account-Overview'!A:A,'Account-Overview'!B:B)</f>
        <v>Labour (Social Contributions)</v>
      </c>
      <c r="F170" s="10">
        <v>-30909.524543259562</v>
      </c>
    </row>
    <row r="171" spans="1:6" x14ac:dyDescent="0.25">
      <c r="A171">
        <v>2024</v>
      </c>
      <c r="B171">
        <v>2400210120</v>
      </c>
      <c r="C171" s="4" t="s">
        <v>78</v>
      </c>
      <c r="D171" s="4" t="s">
        <v>2</v>
      </c>
      <c r="E171" t="str">
        <f>_xlfn.XLOOKUP(tActuals_1[[#This Row],[Account]],'Account-Overview'!A:A,'Account-Overview'!B:B)</f>
        <v>Labour (Social Contributions)</v>
      </c>
      <c r="F171" s="10">
        <v>-31057.429415066876</v>
      </c>
    </row>
    <row r="172" spans="1:6" x14ac:dyDescent="0.25">
      <c r="A172">
        <v>2024</v>
      </c>
      <c r="B172">
        <v>2400210120</v>
      </c>
      <c r="C172" s="4" t="s">
        <v>79</v>
      </c>
      <c r="D172" s="4" t="s">
        <v>3</v>
      </c>
      <c r="E172" t="str">
        <f>_xlfn.XLOOKUP(tActuals_1[[#This Row],[Account]],'Account-Overview'!A:A,'Account-Overview'!B:B)</f>
        <v>Labour (Social Contributions)</v>
      </c>
      <c r="F172" s="10">
        <v>-30865.262797944328</v>
      </c>
    </row>
    <row r="173" spans="1:6" x14ac:dyDescent="0.25">
      <c r="A173">
        <v>2024</v>
      </c>
      <c r="B173">
        <v>2400210120</v>
      </c>
      <c r="C173" s="4" t="s">
        <v>80</v>
      </c>
      <c r="D173" s="4" t="s">
        <v>4</v>
      </c>
      <c r="E173" t="str">
        <f>_xlfn.XLOOKUP(tActuals_1[[#This Row],[Account]],'Account-Overview'!A:A,'Account-Overview'!B:B)</f>
        <v>Labour (Social Contributions)</v>
      </c>
      <c r="F173" s="10">
        <v>-30689.868510077478</v>
      </c>
    </row>
    <row r="174" spans="1:6" x14ac:dyDescent="0.25">
      <c r="A174">
        <v>2024</v>
      </c>
      <c r="B174">
        <v>2400210120</v>
      </c>
      <c r="C174" s="4" t="s">
        <v>81</v>
      </c>
      <c r="D174" s="4" t="s">
        <v>5</v>
      </c>
      <c r="E174" t="str">
        <f>_xlfn.XLOOKUP(tActuals_1[[#This Row],[Account]],'Account-Overview'!A:A,'Account-Overview'!B:B)</f>
        <v>Labour (Social Contributions)</v>
      </c>
      <c r="F174" s="10">
        <v>-30603.85109652533</v>
      </c>
    </row>
    <row r="175" spans="1:6" x14ac:dyDescent="0.25">
      <c r="A175">
        <v>2024</v>
      </c>
      <c r="B175">
        <v>2400210120</v>
      </c>
      <c r="C175" s="4" t="s">
        <v>82</v>
      </c>
      <c r="D175" s="4" t="s">
        <v>6</v>
      </c>
      <c r="E175" t="str">
        <f>_xlfn.XLOOKUP(tActuals_1[[#This Row],[Account]],'Account-Overview'!A:A,'Account-Overview'!B:B)</f>
        <v>Labour (Social Contributions)</v>
      </c>
      <c r="F175" s="10">
        <v>-30597.565584128239</v>
      </c>
    </row>
    <row r="176" spans="1:6" x14ac:dyDescent="0.25">
      <c r="A176">
        <v>2024</v>
      </c>
      <c r="B176">
        <v>2400210120</v>
      </c>
      <c r="C176" s="4" t="s">
        <v>83</v>
      </c>
      <c r="D176" s="4" t="s">
        <v>7</v>
      </c>
      <c r="E176" t="str">
        <f>_xlfn.XLOOKUP(tActuals_1[[#This Row],[Account]],'Account-Overview'!A:A,'Account-Overview'!B:B)</f>
        <v>Labour (Social Contributions)</v>
      </c>
      <c r="F176" s="10">
        <v>-30586.361985779065</v>
      </c>
    </row>
    <row r="177" spans="1:6" x14ac:dyDescent="0.25">
      <c r="A177">
        <v>2024</v>
      </c>
      <c r="B177">
        <v>2400210120</v>
      </c>
      <c r="C177" s="4" t="s">
        <v>84</v>
      </c>
      <c r="D177" s="4" t="s">
        <v>8</v>
      </c>
      <c r="E177" t="str">
        <f>_xlfn.XLOOKUP(tActuals_1[[#This Row],[Account]],'Account-Overview'!A:A,'Account-Overview'!B:B)</f>
        <v>Labour (Social Contributions)</v>
      </c>
      <c r="F177" s="10">
        <v>-30661.159118379408</v>
      </c>
    </row>
    <row r="178" spans="1:6" x14ac:dyDescent="0.25">
      <c r="A178">
        <v>2024</v>
      </c>
      <c r="B178">
        <v>2400210120</v>
      </c>
      <c r="C178" s="4" t="s">
        <v>85</v>
      </c>
      <c r="D178" s="4" t="s">
        <v>9</v>
      </c>
      <c r="E178" t="str">
        <f>_xlfn.XLOOKUP(tActuals_1[[#This Row],[Account]],'Account-Overview'!A:A,'Account-Overview'!B:B)</f>
        <v>Labour (Social Contributions)</v>
      </c>
      <c r="F178" s="10">
        <v>-31251.859791711402</v>
      </c>
    </row>
    <row r="179" spans="1:6" x14ac:dyDescent="0.25">
      <c r="A179">
        <v>2024</v>
      </c>
      <c r="B179">
        <v>2400210120</v>
      </c>
      <c r="C179" s="4" t="s">
        <v>86</v>
      </c>
      <c r="D179" s="4" t="s">
        <v>10</v>
      </c>
      <c r="E179" t="str">
        <f>_xlfn.XLOOKUP(tActuals_1[[#This Row],[Account]],'Account-Overview'!A:A,'Account-Overview'!B:B)</f>
        <v>Labour (Social Contributions)</v>
      </c>
      <c r="F179" s="10">
        <v>-31396.736091085371</v>
      </c>
    </row>
    <row r="180" spans="1:6" x14ac:dyDescent="0.25">
      <c r="A180">
        <v>2024</v>
      </c>
      <c r="B180">
        <v>2400210120</v>
      </c>
      <c r="C180" s="4" t="s">
        <v>87</v>
      </c>
      <c r="D180" s="4" t="s">
        <v>11</v>
      </c>
      <c r="E180" t="str">
        <f>_xlfn.XLOOKUP(tActuals_1[[#This Row],[Account]],'Account-Overview'!A:A,'Account-Overview'!B:B)</f>
        <v>Labour (Social Contributions)</v>
      </c>
      <c r="F180" s="10">
        <v>-31411.557352837441</v>
      </c>
    </row>
    <row r="181" spans="1:6" x14ac:dyDescent="0.25">
      <c r="A181">
        <v>2024</v>
      </c>
      <c r="B181">
        <v>2400210120</v>
      </c>
      <c r="C181" s="4" t="s">
        <v>88</v>
      </c>
      <c r="D181" s="4" t="s">
        <v>12</v>
      </c>
      <c r="E181" t="str">
        <f>_xlfn.XLOOKUP(tActuals_1[[#This Row],[Account]],'Account-Overview'!A:A,'Account-Overview'!B:B)</f>
        <v>Labour (Social Contributions)</v>
      </c>
      <c r="F181" s="10">
        <v>-31456.572953482682</v>
      </c>
    </row>
    <row r="182" spans="1:6" x14ac:dyDescent="0.25">
      <c r="A182">
        <v>2024</v>
      </c>
      <c r="B182">
        <v>2546100100</v>
      </c>
      <c r="C182" s="4" t="s">
        <v>77</v>
      </c>
      <c r="D182" s="4" t="s">
        <v>13</v>
      </c>
      <c r="E182" t="str">
        <f>_xlfn.XLOOKUP(tActuals_1[[#This Row],[Account]],'Account-Overview'!A:A,'Account-Overview'!B:B)</f>
        <v>Marketing (Google)</v>
      </c>
      <c r="F182" s="10">
        <v>-358802.71282625006</v>
      </c>
    </row>
    <row r="183" spans="1:6" x14ac:dyDescent="0.25">
      <c r="A183">
        <v>2024</v>
      </c>
      <c r="B183">
        <v>2546100100</v>
      </c>
      <c r="C183" s="4" t="s">
        <v>78</v>
      </c>
      <c r="D183" s="4" t="s">
        <v>2</v>
      </c>
      <c r="E183" t="str">
        <f>_xlfn.XLOOKUP(tActuals_1[[#This Row],[Account]],'Account-Overview'!A:A,'Account-Overview'!B:B)</f>
        <v>Marketing (Google)</v>
      </c>
      <c r="F183" s="10">
        <v>-376107.33455077809</v>
      </c>
    </row>
    <row r="184" spans="1:6" x14ac:dyDescent="0.25">
      <c r="A184">
        <v>2024</v>
      </c>
      <c r="B184">
        <v>2546100100</v>
      </c>
      <c r="C184" s="4" t="s">
        <v>79</v>
      </c>
      <c r="D184" s="4" t="s">
        <v>3</v>
      </c>
      <c r="E184" t="str">
        <f>_xlfn.XLOOKUP(tActuals_1[[#This Row],[Account]],'Account-Overview'!A:A,'Account-Overview'!B:B)</f>
        <v>Marketing (Google)</v>
      </c>
      <c r="F184" s="10">
        <v>-445681.77704020828</v>
      </c>
    </row>
    <row r="185" spans="1:6" x14ac:dyDescent="0.25">
      <c r="A185">
        <v>2024</v>
      </c>
      <c r="B185">
        <v>2546100100</v>
      </c>
      <c r="C185" s="4" t="s">
        <v>80</v>
      </c>
      <c r="D185" s="4" t="s">
        <v>4</v>
      </c>
      <c r="E185" t="str">
        <f>_xlfn.XLOOKUP(tActuals_1[[#This Row],[Account]],'Account-Overview'!A:A,'Account-Overview'!B:B)</f>
        <v>Marketing (Google)</v>
      </c>
      <c r="F185" s="10">
        <v>-475436.64132128179</v>
      </c>
    </row>
    <row r="186" spans="1:6" x14ac:dyDescent="0.25">
      <c r="A186">
        <v>2024</v>
      </c>
      <c r="B186">
        <v>2546100100</v>
      </c>
      <c r="C186" s="4" t="s">
        <v>81</v>
      </c>
      <c r="D186" s="4" t="s">
        <v>5</v>
      </c>
      <c r="E186" t="str">
        <f>_xlfn.XLOOKUP(tActuals_1[[#This Row],[Account]],'Account-Overview'!A:A,'Account-Overview'!B:B)</f>
        <v>Marketing (Google)</v>
      </c>
      <c r="F186" s="10">
        <v>-384962.22418500006</v>
      </c>
    </row>
    <row r="187" spans="1:6" x14ac:dyDescent="0.25">
      <c r="A187">
        <v>2024</v>
      </c>
      <c r="B187">
        <v>2546100100</v>
      </c>
      <c r="C187" s="4" t="s">
        <v>82</v>
      </c>
      <c r="D187" s="4" t="s">
        <v>6</v>
      </c>
      <c r="E187" t="str">
        <f>_xlfn.XLOOKUP(tActuals_1[[#This Row],[Account]],'Account-Overview'!A:A,'Account-Overview'!B:B)</f>
        <v>Marketing (Google)</v>
      </c>
      <c r="F187" s="10">
        <v>-366630.68970000005</v>
      </c>
    </row>
    <row r="188" spans="1:6" x14ac:dyDescent="0.25">
      <c r="A188">
        <v>2024</v>
      </c>
      <c r="B188">
        <v>2546100100</v>
      </c>
      <c r="C188" s="4" t="s">
        <v>83</v>
      </c>
      <c r="D188" s="4" t="s">
        <v>7</v>
      </c>
      <c r="E188" t="str">
        <f>_xlfn.XLOOKUP(tActuals_1[[#This Row],[Account]],'Account-Overview'!A:A,'Account-Overview'!B:B)</f>
        <v>Marketing (Google)</v>
      </c>
      <c r="F188" s="10">
        <v>-268498.33129350003</v>
      </c>
    </row>
    <row r="189" spans="1:6" x14ac:dyDescent="0.25">
      <c r="A189">
        <v>2024</v>
      </c>
      <c r="B189">
        <v>2546100100</v>
      </c>
      <c r="C189" s="4" t="s">
        <v>84</v>
      </c>
      <c r="D189" s="4" t="s">
        <v>8</v>
      </c>
      <c r="E189" t="str">
        <f>_xlfn.XLOOKUP(tActuals_1[[#This Row],[Account]],'Account-Overview'!A:A,'Account-Overview'!B:B)</f>
        <v>Marketing (Google)</v>
      </c>
      <c r="F189" s="10">
        <v>-227638.34806683435</v>
      </c>
    </row>
    <row r="190" spans="1:6" x14ac:dyDescent="0.25">
      <c r="A190">
        <v>2024</v>
      </c>
      <c r="B190">
        <v>2546100100</v>
      </c>
      <c r="C190" s="4" t="s">
        <v>85</v>
      </c>
      <c r="D190" s="4" t="s">
        <v>9</v>
      </c>
      <c r="E190" t="str">
        <f>_xlfn.XLOOKUP(tActuals_1[[#This Row],[Account]],'Account-Overview'!A:A,'Account-Overview'!B:B)</f>
        <v>Marketing (Google)</v>
      </c>
      <c r="F190" s="10">
        <v>-413490.11320277973</v>
      </c>
    </row>
    <row r="191" spans="1:6" x14ac:dyDescent="0.25">
      <c r="A191">
        <v>2024</v>
      </c>
      <c r="B191">
        <v>2546100100</v>
      </c>
      <c r="C191" s="4" t="s">
        <v>86</v>
      </c>
      <c r="D191" s="4" t="s">
        <v>10</v>
      </c>
      <c r="E191" t="str">
        <f>_xlfn.XLOOKUP(tActuals_1[[#This Row],[Account]],'Account-Overview'!A:A,'Account-Overview'!B:B)</f>
        <v>Marketing (Google)</v>
      </c>
      <c r="F191" s="10">
        <v>-381830.94645313761</v>
      </c>
    </row>
    <row r="192" spans="1:6" x14ac:dyDescent="0.25">
      <c r="A192">
        <v>2024</v>
      </c>
      <c r="B192">
        <v>2546100100</v>
      </c>
      <c r="C192" s="4" t="s">
        <v>87</v>
      </c>
      <c r="D192" s="4" t="s">
        <v>11</v>
      </c>
      <c r="E192" t="str">
        <f>_xlfn.XLOOKUP(tActuals_1[[#This Row],[Account]],'Account-Overview'!A:A,'Account-Overview'!B:B)</f>
        <v>Marketing (Google)</v>
      </c>
      <c r="F192" s="10">
        <v>-394643.55968815665</v>
      </c>
    </row>
    <row r="193" spans="1:6" x14ac:dyDescent="0.25">
      <c r="A193">
        <v>2024</v>
      </c>
      <c r="B193">
        <v>2546100100</v>
      </c>
      <c r="C193" s="4" t="s">
        <v>88</v>
      </c>
      <c r="D193" s="4" t="s">
        <v>12</v>
      </c>
      <c r="E193" t="str">
        <f>_xlfn.XLOOKUP(tActuals_1[[#This Row],[Account]],'Account-Overview'!A:A,'Account-Overview'!B:B)</f>
        <v>Marketing (Google)</v>
      </c>
      <c r="F193" s="10">
        <v>-372706.14279112499</v>
      </c>
    </row>
    <row r="194" spans="1:6" x14ac:dyDescent="0.25">
      <c r="A194">
        <v>2024</v>
      </c>
      <c r="B194">
        <v>2544601400</v>
      </c>
      <c r="C194" s="4" t="s">
        <v>77</v>
      </c>
      <c r="D194" s="4" t="s">
        <v>13</v>
      </c>
      <c r="E194" t="str">
        <f>_xlfn.XLOOKUP(tActuals_1[[#This Row],[Account]],'Account-Overview'!A:A,'Account-Overview'!B:B)</f>
        <v>Marketing (Meta)</v>
      </c>
      <c r="F194" s="10">
        <v>-109605.29643112503</v>
      </c>
    </row>
    <row r="195" spans="1:6" x14ac:dyDescent="0.25">
      <c r="A195">
        <v>2024</v>
      </c>
      <c r="B195">
        <v>2544601400</v>
      </c>
      <c r="C195" s="4" t="s">
        <v>78</v>
      </c>
      <c r="D195" s="4" t="s">
        <v>2</v>
      </c>
      <c r="E195" t="str">
        <f>_xlfn.XLOOKUP(tActuals_1[[#This Row],[Account]],'Account-Overview'!A:A,'Account-Overview'!B:B)</f>
        <v>Marketing (Meta)</v>
      </c>
      <c r="F195" s="10">
        <v>-118609.10477650013</v>
      </c>
    </row>
    <row r="196" spans="1:6" x14ac:dyDescent="0.25">
      <c r="A196">
        <v>2024</v>
      </c>
      <c r="B196">
        <v>2544601400</v>
      </c>
      <c r="C196" s="4" t="s">
        <v>79</v>
      </c>
      <c r="D196" s="4" t="s">
        <v>3</v>
      </c>
      <c r="E196" t="str">
        <f>_xlfn.XLOOKUP(tActuals_1[[#This Row],[Account]],'Account-Overview'!A:A,'Account-Overview'!B:B)</f>
        <v>Marketing (Meta)</v>
      </c>
      <c r="F196" s="10">
        <v>-123117.26695895618</v>
      </c>
    </row>
    <row r="197" spans="1:6" x14ac:dyDescent="0.25">
      <c r="A197">
        <v>2024</v>
      </c>
      <c r="B197">
        <v>2544601400</v>
      </c>
      <c r="C197" s="4" t="s">
        <v>80</v>
      </c>
      <c r="D197" s="4" t="s">
        <v>4</v>
      </c>
      <c r="E197" t="str">
        <f>_xlfn.XLOOKUP(tActuals_1[[#This Row],[Account]],'Account-Overview'!A:A,'Account-Overview'!B:B)</f>
        <v>Marketing (Meta)</v>
      </c>
      <c r="F197" s="10">
        <v>-116028.82883361628</v>
      </c>
    </row>
    <row r="198" spans="1:6" x14ac:dyDescent="0.25">
      <c r="A198">
        <v>2024</v>
      </c>
      <c r="B198">
        <v>2544601400</v>
      </c>
      <c r="C198" s="4" t="s">
        <v>81</v>
      </c>
      <c r="D198" s="4" t="s">
        <v>5</v>
      </c>
      <c r="E198" t="str">
        <f>_xlfn.XLOOKUP(tActuals_1[[#This Row],[Account]],'Account-Overview'!A:A,'Account-Overview'!B:B)</f>
        <v>Marketing (Meta)</v>
      </c>
      <c r="F198" s="10">
        <v>-97509.604500000016</v>
      </c>
    </row>
    <row r="199" spans="1:6" x14ac:dyDescent="0.25">
      <c r="A199">
        <v>2024</v>
      </c>
      <c r="B199">
        <v>2544601400</v>
      </c>
      <c r="C199" s="4" t="s">
        <v>82</v>
      </c>
      <c r="D199" s="4" t="s">
        <v>6</v>
      </c>
      <c r="E199" t="str">
        <f>_xlfn.XLOOKUP(tActuals_1[[#This Row],[Account]],'Account-Overview'!A:A,'Account-Overview'!B:B)</f>
        <v>Marketing (Meta)</v>
      </c>
      <c r="F199" s="10">
        <v>-92866.290000000023</v>
      </c>
    </row>
    <row r="200" spans="1:6" x14ac:dyDescent="0.25">
      <c r="A200">
        <v>2024</v>
      </c>
      <c r="B200">
        <v>2544601400</v>
      </c>
      <c r="C200" s="4" t="s">
        <v>83</v>
      </c>
      <c r="D200" s="4" t="s">
        <v>7</v>
      </c>
      <c r="E200" t="str">
        <f>_xlfn.XLOOKUP(tActuals_1[[#This Row],[Account]],'Account-Overview'!A:A,'Account-Overview'!B:B)</f>
        <v>Marketing (Meta)</v>
      </c>
      <c r="F200" s="10">
        <v>-84998.736900000018</v>
      </c>
    </row>
    <row r="201" spans="1:6" x14ac:dyDescent="0.25">
      <c r="A201">
        <v>2024</v>
      </c>
      <c r="B201">
        <v>2544601400</v>
      </c>
      <c r="C201" s="4" t="s">
        <v>84</v>
      </c>
      <c r="D201" s="4" t="s">
        <v>8</v>
      </c>
      <c r="E201" t="str">
        <f>_xlfn.XLOOKUP(tActuals_1[[#This Row],[Account]],'Account-Overview'!A:A,'Account-Overview'!B:B)</f>
        <v>Marketing (Meta)</v>
      </c>
      <c r="F201" s="10">
        <v>-96952.952550162518</v>
      </c>
    </row>
    <row r="202" spans="1:6" x14ac:dyDescent="0.25">
      <c r="A202">
        <v>2024</v>
      </c>
      <c r="B202">
        <v>2544601400</v>
      </c>
      <c r="C202" s="4" t="s">
        <v>85</v>
      </c>
      <c r="D202" s="4" t="s">
        <v>9</v>
      </c>
      <c r="E202" t="str">
        <f>_xlfn.XLOOKUP(tActuals_1[[#This Row],[Account]],'Account-Overview'!A:A,'Account-Overview'!B:B)</f>
        <v>Marketing (Meta)</v>
      </c>
      <c r="F202" s="10">
        <v>-156020.26752300485</v>
      </c>
    </row>
    <row r="203" spans="1:6" x14ac:dyDescent="0.25">
      <c r="A203">
        <v>2024</v>
      </c>
      <c r="B203">
        <v>2544601400</v>
      </c>
      <c r="C203" s="4" t="s">
        <v>86</v>
      </c>
      <c r="D203" s="4" t="s">
        <v>10</v>
      </c>
      <c r="E203" t="str">
        <f>_xlfn.XLOOKUP(tActuals_1[[#This Row],[Account]],'Account-Overview'!A:A,'Account-Overview'!B:B)</f>
        <v>Marketing (Meta)</v>
      </c>
      <c r="F203" s="10">
        <v>-168444.87350460002</v>
      </c>
    </row>
    <row r="204" spans="1:6" x14ac:dyDescent="0.25">
      <c r="A204">
        <v>2024</v>
      </c>
      <c r="B204">
        <v>2544601400</v>
      </c>
      <c r="C204" s="4" t="s">
        <v>87</v>
      </c>
      <c r="D204" s="4" t="s">
        <v>11</v>
      </c>
      <c r="E204" t="str">
        <f>_xlfn.XLOOKUP(tActuals_1[[#This Row],[Account]],'Account-Overview'!A:A,'Account-Overview'!B:B)</f>
        <v>Marketing (Meta)</v>
      </c>
      <c r="F204" s="10">
        <v>-176087.59613760217</v>
      </c>
    </row>
    <row r="205" spans="1:6" x14ac:dyDescent="0.25">
      <c r="A205">
        <v>2024</v>
      </c>
      <c r="B205">
        <v>2544601400</v>
      </c>
      <c r="C205" s="4" t="s">
        <v>88</v>
      </c>
      <c r="D205" s="4" t="s">
        <v>12</v>
      </c>
      <c r="E205" t="str">
        <f>_xlfn.XLOOKUP(tActuals_1[[#This Row],[Account]],'Account-Overview'!A:A,'Account-Overview'!B:B)</f>
        <v>Marketing (Meta)</v>
      </c>
      <c r="F205" s="10">
        <v>-142666.17608650003</v>
      </c>
    </row>
    <row r="206" spans="1:6" x14ac:dyDescent="0.25">
      <c r="A206">
        <v>2024</v>
      </c>
      <c r="B206">
        <v>2544600140</v>
      </c>
      <c r="C206" s="4" t="s">
        <v>77</v>
      </c>
      <c r="D206" s="4" t="s">
        <v>13</v>
      </c>
      <c r="E206" t="str">
        <f>_xlfn.XLOOKUP(tActuals_1[[#This Row],[Account]],'Account-Overview'!A:A,'Account-Overview'!B:B)</f>
        <v>Marketing (Flyers)</v>
      </c>
      <c r="F206" s="10">
        <v>-77705.212594625016</v>
      </c>
    </row>
    <row r="207" spans="1:6" x14ac:dyDescent="0.25">
      <c r="A207">
        <v>2024</v>
      </c>
      <c r="B207">
        <v>2544600140</v>
      </c>
      <c r="C207" s="4" t="s">
        <v>78</v>
      </c>
      <c r="D207" s="4" t="s">
        <v>2</v>
      </c>
      <c r="E207" t="str">
        <f>_xlfn.XLOOKUP(tActuals_1[[#This Row],[Account]],'Account-Overview'!A:A,'Account-Overview'!B:B)</f>
        <v>Marketing (Flyers)</v>
      </c>
      <c r="F207" s="10">
        <v>-102457.95750548822</v>
      </c>
    </row>
    <row r="208" spans="1:6" x14ac:dyDescent="0.25">
      <c r="A208">
        <v>2024</v>
      </c>
      <c r="B208">
        <v>2544600140</v>
      </c>
      <c r="C208" s="4" t="s">
        <v>79</v>
      </c>
      <c r="D208" s="4" t="s">
        <v>3</v>
      </c>
      <c r="E208" t="str">
        <f>_xlfn.XLOOKUP(tActuals_1[[#This Row],[Account]],'Account-Overview'!A:A,'Account-Overview'!B:B)</f>
        <v>Marketing (Flyers)</v>
      </c>
      <c r="F208" s="10">
        <v>-122105.30944693858</v>
      </c>
    </row>
    <row r="209" spans="1:6" x14ac:dyDescent="0.25">
      <c r="A209">
        <v>2024</v>
      </c>
      <c r="B209">
        <v>2544600140</v>
      </c>
      <c r="C209" s="4" t="s">
        <v>80</v>
      </c>
      <c r="D209" s="4" t="s">
        <v>4</v>
      </c>
      <c r="E209" t="str">
        <f>_xlfn.XLOOKUP(tActuals_1[[#This Row],[Account]],'Account-Overview'!A:A,'Account-Overview'!B:B)</f>
        <v>Marketing (Flyers)</v>
      </c>
      <c r="F209" s="10">
        <v>-131622.64395240572</v>
      </c>
    </row>
    <row r="210" spans="1:6" x14ac:dyDescent="0.25">
      <c r="A210">
        <v>2024</v>
      </c>
      <c r="B210">
        <v>2544600140</v>
      </c>
      <c r="C210" s="4" t="s">
        <v>81</v>
      </c>
      <c r="D210" s="4" t="s">
        <v>5</v>
      </c>
      <c r="E210" t="str">
        <f>_xlfn.XLOOKUP(tActuals_1[[#This Row],[Account]],'Account-Overview'!A:A,'Account-Overview'!B:B)</f>
        <v>Marketing (Flyers)</v>
      </c>
      <c r="F210" s="10">
        <v>-165518.77072500001</v>
      </c>
    </row>
    <row r="211" spans="1:6" x14ac:dyDescent="0.25">
      <c r="A211">
        <v>2024</v>
      </c>
      <c r="B211">
        <v>2544600140</v>
      </c>
      <c r="C211" s="4" t="s">
        <v>82</v>
      </c>
      <c r="D211" s="4" t="s">
        <v>6</v>
      </c>
      <c r="E211" t="str">
        <f>_xlfn.XLOOKUP(tActuals_1[[#This Row],[Account]],'Account-Overview'!A:A,'Account-Overview'!B:B)</f>
        <v>Marketing (Flyers)</v>
      </c>
      <c r="F211" s="10">
        <v>-157636.92450000002</v>
      </c>
    </row>
    <row r="212" spans="1:6" x14ac:dyDescent="0.25">
      <c r="A212">
        <v>2024</v>
      </c>
      <c r="B212">
        <v>2544600140</v>
      </c>
      <c r="C212" s="4" t="s">
        <v>83</v>
      </c>
      <c r="D212" s="4" t="s">
        <v>7</v>
      </c>
      <c r="E212" t="str">
        <f>_xlfn.XLOOKUP(tActuals_1[[#This Row],[Account]],'Account-Overview'!A:A,'Account-Overview'!B:B)</f>
        <v>Marketing (Flyers)</v>
      </c>
      <c r="F212" s="10">
        <v>-149852.46899700005</v>
      </c>
    </row>
    <row r="213" spans="1:6" x14ac:dyDescent="0.25">
      <c r="A213">
        <v>2024</v>
      </c>
      <c r="B213">
        <v>2544600140</v>
      </c>
      <c r="C213" s="4" t="s">
        <v>84</v>
      </c>
      <c r="D213" s="4" t="s">
        <v>8</v>
      </c>
      <c r="E213" t="str">
        <f>_xlfn.XLOOKUP(tActuals_1[[#This Row],[Account]],'Account-Overview'!A:A,'Account-Overview'!B:B)</f>
        <v>Marketing (Flyers)</v>
      </c>
      <c r="F213" s="10">
        <v>-136552.84107616253</v>
      </c>
    </row>
    <row r="214" spans="1:6" x14ac:dyDescent="0.25">
      <c r="A214">
        <v>2024</v>
      </c>
      <c r="B214">
        <v>2544600140</v>
      </c>
      <c r="C214" s="4" t="s">
        <v>85</v>
      </c>
      <c r="D214" s="4" t="s">
        <v>9</v>
      </c>
      <c r="E214" t="str">
        <f>_xlfn.XLOOKUP(tActuals_1[[#This Row],[Account]],'Account-Overview'!A:A,'Account-Overview'!B:B)</f>
        <v>Marketing (Flyers)</v>
      </c>
      <c r="F214" s="10">
        <v>-133810.25790000003</v>
      </c>
    </row>
    <row r="215" spans="1:6" x14ac:dyDescent="0.25">
      <c r="A215">
        <v>2024</v>
      </c>
      <c r="B215">
        <v>2544600140</v>
      </c>
      <c r="C215" s="4" t="s">
        <v>86</v>
      </c>
      <c r="D215" s="4" t="s">
        <v>10</v>
      </c>
      <c r="E215" t="str">
        <f>_xlfn.XLOOKUP(tActuals_1[[#This Row],[Account]],'Account-Overview'!A:A,'Account-Overview'!B:B)</f>
        <v>Marketing (Flyers)</v>
      </c>
      <c r="F215" s="10">
        <v>-374669.91324551264</v>
      </c>
    </row>
    <row r="216" spans="1:6" x14ac:dyDescent="0.25">
      <c r="A216">
        <v>2024</v>
      </c>
      <c r="B216">
        <v>2544600140</v>
      </c>
      <c r="C216" s="4" t="s">
        <v>87</v>
      </c>
      <c r="D216" s="4" t="s">
        <v>11</v>
      </c>
      <c r="E216" t="str">
        <f>_xlfn.XLOOKUP(tActuals_1[[#This Row],[Account]],'Account-Overview'!A:A,'Account-Overview'!B:B)</f>
        <v>Marketing (Flyers)</v>
      </c>
      <c r="F216" s="10">
        <v>-263362.75371374527</v>
      </c>
    </row>
    <row r="217" spans="1:6" x14ac:dyDescent="0.25">
      <c r="A217">
        <v>2024</v>
      </c>
      <c r="B217">
        <v>2544600140</v>
      </c>
      <c r="C217" s="4" t="s">
        <v>88</v>
      </c>
      <c r="D217" s="4" t="s">
        <v>12</v>
      </c>
      <c r="E217" t="str">
        <f>_xlfn.XLOOKUP(tActuals_1[[#This Row],[Account]],'Account-Overview'!A:A,'Account-Overview'!B:B)</f>
        <v>Marketing (Flyers)</v>
      </c>
      <c r="F217" s="10">
        <v>-108238.57164697502</v>
      </c>
    </row>
    <row r="218" spans="1:6" x14ac:dyDescent="0.25">
      <c r="A218">
        <v>2024</v>
      </c>
      <c r="B218">
        <v>2544600120</v>
      </c>
      <c r="C218" s="4" t="s">
        <v>77</v>
      </c>
      <c r="D218" s="4" t="s">
        <v>13</v>
      </c>
      <c r="E218" t="str">
        <f>_xlfn.XLOOKUP(tActuals_1[[#This Row],[Account]],'Account-Overview'!A:A,'Account-Overview'!B:B)</f>
        <v>Marketing (TV)</v>
      </c>
      <c r="F218" s="10">
        <v>-5524.3312451250022</v>
      </c>
    </row>
    <row r="219" spans="1:6" x14ac:dyDescent="0.25">
      <c r="A219">
        <v>2024</v>
      </c>
      <c r="B219">
        <v>2544600120</v>
      </c>
      <c r="C219" s="4" t="s">
        <v>78</v>
      </c>
      <c r="D219" s="4" t="s">
        <v>2</v>
      </c>
      <c r="E219" t="str">
        <f>_xlfn.XLOOKUP(tActuals_1[[#This Row],[Account]],'Account-Overview'!A:A,'Account-Overview'!B:B)</f>
        <v>Marketing (TV)</v>
      </c>
      <c r="F219" s="10">
        <v>-9752.1445438394639</v>
      </c>
    </row>
    <row r="220" spans="1:6" x14ac:dyDescent="0.25">
      <c r="A220">
        <v>2024</v>
      </c>
      <c r="B220">
        <v>2544600120</v>
      </c>
      <c r="C220" s="4" t="s">
        <v>79</v>
      </c>
      <c r="D220" s="4" t="s">
        <v>3</v>
      </c>
      <c r="E220" t="str">
        <f>_xlfn.XLOOKUP(tActuals_1[[#This Row],[Account]],'Account-Overview'!A:A,'Account-Overview'!B:B)</f>
        <v>Marketing (TV)</v>
      </c>
      <c r="F220" s="10">
        <v>-15468.533423580548</v>
      </c>
    </row>
    <row r="221" spans="1:6" x14ac:dyDescent="0.25">
      <c r="A221">
        <v>2024</v>
      </c>
      <c r="B221">
        <v>2544600120</v>
      </c>
      <c r="C221" s="4" t="s">
        <v>80</v>
      </c>
      <c r="D221" s="4" t="s">
        <v>4</v>
      </c>
      <c r="E221" t="str">
        <f>_xlfn.XLOOKUP(tActuals_1[[#This Row],[Account]],'Account-Overview'!A:A,'Account-Overview'!B:B)</f>
        <v>Marketing (TV)</v>
      </c>
      <c r="F221" s="10">
        <v>-12906.135046685587</v>
      </c>
    </row>
    <row r="222" spans="1:6" x14ac:dyDescent="0.25">
      <c r="A222">
        <v>2024</v>
      </c>
      <c r="B222">
        <v>2544600120</v>
      </c>
      <c r="C222" s="4" t="s">
        <v>81</v>
      </c>
      <c r="D222" s="4" t="s">
        <v>5</v>
      </c>
      <c r="E222" t="str">
        <f>_xlfn.XLOOKUP(tActuals_1[[#This Row],[Account]],'Account-Overview'!A:A,'Account-Overview'!B:B)</f>
        <v>Marketing (TV)</v>
      </c>
      <c r="F222" s="10">
        <v>-11954.921000000002</v>
      </c>
    </row>
    <row r="223" spans="1:6" x14ac:dyDescent="0.25">
      <c r="A223">
        <v>2024</v>
      </c>
      <c r="B223">
        <v>2544600120</v>
      </c>
      <c r="C223" s="4" t="s">
        <v>82</v>
      </c>
      <c r="D223" s="4" t="s">
        <v>6</v>
      </c>
      <c r="E223" t="str">
        <f>_xlfn.XLOOKUP(tActuals_1[[#This Row],[Account]],'Account-Overview'!A:A,'Account-Overview'!B:B)</f>
        <v>Marketing (TV)</v>
      </c>
      <c r="F223" s="10">
        <v>-7698.0200000000013</v>
      </c>
    </row>
    <row r="224" spans="1:6" x14ac:dyDescent="0.25">
      <c r="A224">
        <v>2024</v>
      </c>
      <c r="B224">
        <v>2544600120</v>
      </c>
      <c r="C224" s="4" t="s">
        <v>83</v>
      </c>
      <c r="D224" s="4" t="s">
        <v>7</v>
      </c>
      <c r="E224" t="str">
        <f>_xlfn.XLOOKUP(tActuals_1[[#This Row],[Account]],'Account-Overview'!A:A,'Account-Overview'!B:B)</f>
        <v>Marketing (TV)</v>
      </c>
      <c r="F224" s="10">
        <v>-6521.4226247500019</v>
      </c>
    </row>
    <row r="225" spans="1:6" x14ac:dyDescent="0.25">
      <c r="A225">
        <v>2024</v>
      </c>
      <c r="B225">
        <v>2544600120</v>
      </c>
      <c r="C225" s="4" t="s">
        <v>84</v>
      </c>
      <c r="D225" s="4" t="s">
        <v>8</v>
      </c>
      <c r="E225" t="str">
        <f>_xlfn.XLOOKUP(tActuals_1[[#This Row],[Account]],'Account-Overview'!A:A,'Account-Overview'!B:B)</f>
        <v>Marketing (TV)</v>
      </c>
      <c r="F225" s="10">
        <v>-3642.6022710000002</v>
      </c>
    </row>
    <row r="226" spans="1:6" x14ac:dyDescent="0.25">
      <c r="A226">
        <v>2024</v>
      </c>
      <c r="B226">
        <v>2544600120</v>
      </c>
      <c r="C226" s="4" t="s">
        <v>85</v>
      </c>
      <c r="D226" s="4" t="s">
        <v>9</v>
      </c>
      <c r="E226" t="str">
        <f>_xlfn.XLOOKUP(tActuals_1[[#This Row],[Account]],'Account-Overview'!A:A,'Account-Overview'!B:B)</f>
        <v>Marketing (TV)</v>
      </c>
      <c r="F226" s="10">
        <v>-16643.804933507563</v>
      </c>
    </row>
    <row r="227" spans="1:6" x14ac:dyDescent="0.25">
      <c r="A227">
        <v>2024</v>
      </c>
      <c r="B227">
        <v>2544600120</v>
      </c>
      <c r="C227" s="4" t="s">
        <v>86</v>
      </c>
      <c r="D227" s="4" t="s">
        <v>10</v>
      </c>
      <c r="E227" t="str">
        <f>_xlfn.XLOOKUP(tActuals_1[[#This Row],[Account]],'Account-Overview'!A:A,'Account-Overview'!B:B)</f>
        <v>Marketing (TV)</v>
      </c>
      <c r="F227" s="10">
        <v>-21757.433195987502</v>
      </c>
    </row>
    <row r="228" spans="1:6" x14ac:dyDescent="0.25">
      <c r="A228">
        <v>2024</v>
      </c>
      <c r="B228">
        <v>2544600120</v>
      </c>
      <c r="C228" s="4" t="s">
        <v>87</v>
      </c>
      <c r="D228" s="4" t="s">
        <v>11</v>
      </c>
      <c r="E228" t="str">
        <f>_xlfn.XLOOKUP(tActuals_1[[#This Row],[Account]],'Account-Overview'!A:A,'Account-Overview'!B:B)</f>
        <v>Marketing (TV)</v>
      </c>
      <c r="F228" s="10">
        <v>-19240.915793935452</v>
      </c>
    </row>
    <row r="229" spans="1:6" x14ac:dyDescent="0.25">
      <c r="A229">
        <v>2024</v>
      </c>
      <c r="B229">
        <v>2544600120</v>
      </c>
      <c r="C229" s="4" t="s">
        <v>88</v>
      </c>
      <c r="D229" s="4" t="s">
        <v>12</v>
      </c>
      <c r="E229" t="str">
        <f>_xlfn.XLOOKUP(tActuals_1[[#This Row],[Account]],'Account-Overview'!A:A,'Account-Overview'!B:B)</f>
        <v>Marketing (TV)</v>
      </c>
      <c r="F229" s="10">
        <v>-10923.126623750002</v>
      </c>
    </row>
    <row r="230" spans="1:6" x14ac:dyDescent="0.25">
      <c r="A230">
        <v>2024</v>
      </c>
      <c r="B230">
        <v>2544600170</v>
      </c>
      <c r="C230" s="4" t="s">
        <v>77</v>
      </c>
      <c r="D230" s="4" t="s">
        <v>13</v>
      </c>
      <c r="E230" t="str">
        <f>_xlfn.XLOOKUP(tActuals_1[[#This Row],[Account]],'Account-Overview'!A:A,'Account-Overview'!B:B)</f>
        <v>Marketing (Print)</v>
      </c>
      <c r="F230" s="10">
        <v>-3866.8847250000008</v>
      </c>
    </row>
    <row r="231" spans="1:6" x14ac:dyDescent="0.25">
      <c r="A231">
        <v>2024</v>
      </c>
      <c r="B231">
        <v>2544600170</v>
      </c>
      <c r="C231" s="4" t="s">
        <v>78</v>
      </c>
      <c r="D231" s="4" t="s">
        <v>2</v>
      </c>
      <c r="E231" t="str">
        <f>_xlfn.XLOOKUP(tActuals_1[[#This Row],[Account]],'Account-Overview'!A:A,'Account-Overview'!B:B)</f>
        <v>Marketing (Print)</v>
      </c>
      <c r="F231" s="10">
        <v>-4994.0684132232964</v>
      </c>
    </row>
    <row r="232" spans="1:6" x14ac:dyDescent="0.25">
      <c r="A232">
        <v>2024</v>
      </c>
      <c r="B232">
        <v>2544600170</v>
      </c>
      <c r="C232" s="4" t="s">
        <v>79</v>
      </c>
      <c r="D232" s="4" t="s">
        <v>3</v>
      </c>
      <c r="E232" t="str">
        <f>_xlfn.XLOOKUP(tActuals_1[[#This Row],[Account]],'Account-Overview'!A:A,'Account-Overview'!B:B)</f>
        <v>Marketing (Print)</v>
      </c>
      <c r="F232" s="10">
        <v>-6241.18</v>
      </c>
    </row>
    <row r="233" spans="1:6" x14ac:dyDescent="0.25">
      <c r="A233">
        <v>2024</v>
      </c>
      <c r="B233">
        <v>2544600170</v>
      </c>
      <c r="C233" s="4" t="s">
        <v>80</v>
      </c>
      <c r="D233" s="4" t="s">
        <v>4</v>
      </c>
      <c r="E233" t="str">
        <f>_xlfn.XLOOKUP(tActuals_1[[#This Row],[Account]],'Account-Overview'!A:A,'Account-Overview'!B:B)</f>
        <v>Marketing (Print)</v>
      </c>
      <c r="F233" s="10">
        <v>-10642.356769379154</v>
      </c>
    </row>
    <row r="234" spans="1:6" x14ac:dyDescent="0.25">
      <c r="A234">
        <v>2024</v>
      </c>
      <c r="B234">
        <v>2544600170</v>
      </c>
      <c r="C234" s="4" t="s">
        <v>81</v>
      </c>
      <c r="D234" s="4" t="s">
        <v>5</v>
      </c>
      <c r="E234" t="str">
        <f>_xlfn.XLOOKUP(tActuals_1[[#This Row],[Account]],'Account-Overview'!A:A,'Account-Overview'!B:B)</f>
        <v>Marketing (Print)</v>
      </c>
      <c r="F234" s="10">
        <v>-11738.239645000001</v>
      </c>
    </row>
    <row r="235" spans="1:6" x14ac:dyDescent="0.25">
      <c r="A235">
        <v>2024</v>
      </c>
      <c r="B235">
        <v>2544600170</v>
      </c>
      <c r="C235" s="4" t="s">
        <v>82</v>
      </c>
      <c r="D235" s="4" t="s">
        <v>6</v>
      </c>
      <c r="E235" t="str">
        <f>_xlfn.XLOOKUP(tActuals_1[[#This Row],[Account]],'Account-Overview'!A:A,'Account-Overview'!B:B)</f>
        <v>Marketing (Print)</v>
      </c>
      <c r="F235" s="10">
        <v>-10026.894900000003</v>
      </c>
    </row>
    <row r="236" spans="1:6" x14ac:dyDescent="0.25">
      <c r="A236">
        <v>2024</v>
      </c>
      <c r="B236">
        <v>2544600170</v>
      </c>
      <c r="C236" s="4" t="s">
        <v>83</v>
      </c>
      <c r="D236" s="4" t="s">
        <v>7</v>
      </c>
      <c r="E236" t="str">
        <f>_xlfn.XLOOKUP(tActuals_1[[#This Row],[Account]],'Account-Overview'!A:A,'Account-Overview'!B:B)</f>
        <v>Marketing (Print)</v>
      </c>
      <c r="F236" s="10">
        <v>-4764.0300592500016</v>
      </c>
    </row>
    <row r="237" spans="1:6" x14ac:dyDescent="0.25">
      <c r="A237">
        <v>2024</v>
      </c>
      <c r="B237">
        <v>2544600170</v>
      </c>
      <c r="C237" s="4" t="s">
        <v>84</v>
      </c>
      <c r="D237" s="4" t="s">
        <v>8</v>
      </c>
      <c r="E237" t="str">
        <f>_xlfn.XLOOKUP(tActuals_1[[#This Row],[Account]],'Account-Overview'!A:A,'Account-Overview'!B:B)</f>
        <v>Marketing (Print)</v>
      </c>
      <c r="F237" s="10">
        <v>-2764.8399657725004</v>
      </c>
    </row>
    <row r="238" spans="1:6" x14ac:dyDescent="0.25">
      <c r="A238">
        <v>2024</v>
      </c>
      <c r="B238">
        <v>2544600170</v>
      </c>
      <c r="C238" s="4" t="s">
        <v>85</v>
      </c>
      <c r="D238" s="4" t="s">
        <v>9</v>
      </c>
      <c r="E238" t="str">
        <f>_xlfn.XLOOKUP(tActuals_1[[#This Row],[Account]],'Account-Overview'!A:A,'Account-Overview'!B:B)</f>
        <v>Marketing (Print)</v>
      </c>
      <c r="F238" s="10">
        <v>-25028.068353701921</v>
      </c>
    </row>
    <row r="239" spans="1:6" x14ac:dyDescent="0.25">
      <c r="A239">
        <v>2024</v>
      </c>
      <c r="B239">
        <v>2544600170</v>
      </c>
      <c r="C239" s="4" t="s">
        <v>86</v>
      </c>
      <c r="D239" s="4" t="s">
        <v>10</v>
      </c>
      <c r="E239" t="str">
        <f>_xlfn.XLOOKUP(tActuals_1[[#This Row],[Account]],'Account-Overview'!A:A,'Account-Overview'!B:B)</f>
        <v>Marketing (Print)</v>
      </c>
      <c r="F239" s="10">
        <v>-27633.961081650003</v>
      </c>
    </row>
    <row r="240" spans="1:6" x14ac:dyDescent="0.25">
      <c r="A240">
        <v>2024</v>
      </c>
      <c r="B240">
        <v>2544600170</v>
      </c>
      <c r="C240" s="4" t="s">
        <v>87</v>
      </c>
      <c r="D240" s="4" t="s">
        <v>11</v>
      </c>
      <c r="E240" t="str">
        <f>_xlfn.XLOOKUP(tActuals_1[[#This Row],[Account]],'Account-Overview'!A:A,'Account-Overview'!B:B)</f>
        <v>Marketing (Print)</v>
      </c>
      <c r="F240" s="10">
        <v>-16961.501645555207</v>
      </c>
    </row>
    <row r="241" spans="1:6" x14ac:dyDescent="0.25">
      <c r="A241">
        <v>2024</v>
      </c>
      <c r="B241">
        <v>2544600170</v>
      </c>
      <c r="C241" s="4" t="s">
        <v>88</v>
      </c>
      <c r="D241" s="4" t="s">
        <v>12</v>
      </c>
      <c r="E241" t="str">
        <f>_xlfn.XLOOKUP(tActuals_1[[#This Row],[Account]],'Account-Overview'!A:A,'Account-Overview'!B:B)</f>
        <v>Marketing (Print)</v>
      </c>
      <c r="F241" s="10">
        <v>-10536.490884562501</v>
      </c>
    </row>
    <row r="242" spans="1:6" x14ac:dyDescent="0.25">
      <c r="A242">
        <v>2024</v>
      </c>
      <c r="B242">
        <v>2561400000</v>
      </c>
      <c r="C242" s="4" t="s">
        <v>77</v>
      </c>
      <c r="D242" s="4" t="s">
        <v>13</v>
      </c>
      <c r="E242" t="str">
        <f>_xlfn.XLOOKUP(tActuals_1[[#This Row],[Account]],'Account-Overview'!A:A,'Account-Overview'!B:B)</f>
        <v>Rent</v>
      </c>
      <c r="F242" s="10">
        <v>-97865.595786750011</v>
      </c>
    </row>
    <row r="243" spans="1:6" x14ac:dyDescent="0.25">
      <c r="A243">
        <v>2024</v>
      </c>
      <c r="B243">
        <v>2561400000</v>
      </c>
      <c r="C243" s="4" t="s">
        <v>78</v>
      </c>
      <c r="D243" s="4" t="s">
        <v>2</v>
      </c>
      <c r="E243" t="str">
        <f>_xlfn.XLOOKUP(tActuals_1[[#This Row],[Account]],'Account-Overview'!A:A,'Account-Overview'!B:B)</f>
        <v>Rent</v>
      </c>
      <c r="F243" s="10">
        <v>-97865.595786750011</v>
      </c>
    </row>
    <row r="244" spans="1:6" x14ac:dyDescent="0.25">
      <c r="A244">
        <v>2024</v>
      </c>
      <c r="B244">
        <v>2561400000</v>
      </c>
      <c r="C244" s="4" t="s">
        <v>79</v>
      </c>
      <c r="D244" s="4" t="s">
        <v>3</v>
      </c>
      <c r="E244" t="str">
        <f>_xlfn.XLOOKUP(tActuals_1[[#This Row],[Account]],'Account-Overview'!A:A,'Account-Overview'!B:B)</f>
        <v>Rent</v>
      </c>
      <c r="F244" s="10">
        <v>-97605.446573250039</v>
      </c>
    </row>
    <row r="245" spans="1:6" x14ac:dyDescent="0.25">
      <c r="A245">
        <v>2024</v>
      </c>
      <c r="B245">
        <v>2561400000</v>
      </c>
      <c r="C245" s="4" t="s">
        <v>80</v>
      </c>
      <c r="D245" s="4" t="s">
        <v>4</v>
      </c>
      <c r="E245" t="str">
        <f>_xlfn.XLOOKUP(tActuals_1[[#This Row],[Account]],'Account-Overview'!A:A,'Account-Overview'!B:B)</f>
        <v>Rent</v>
      </c>
      <c r="F245" s="10">
        <v>-97605.446573250039</v>
      </c>
    </row>
    <row r="246" spans="1:6" x14ac:dyDescent="0.25">
      <c r="A246">
        <v>2024</v>
      </c>
      <c r="B246">
        <v>2561400000</v>
      </c>
      <c r="C246" s="4" t="s">
        <v>81</v>
      </c>
      <c r="D246" s="4" t="s">
        <v>5</v>
      </c>
      <c r="E246" t="str">
        <f>_xlfn.XLOOKUP(tActuals_1[[#This Row],[Account]],'Account-Overview'!A:A,'Account-Overview'!B:B)</f>
        <v>Rent</v>
      </c>
      <c r="F246" s="10">
        <v>-97605.446573250039</v>
      </c>
    </row>
    <row r="247" spans="1:6" x14ac:dyDescent="0.25">
      <c r="A247">
        <v>2024</v>
      </c>
      <c r="B247">
        <v>2561400000</v>
      </c>
      <c r="C247" s="4" t="s">
        <v>82</v>
      </c>
      <c r="D247" s="4" t="s">
        <v>6</v>
      </c>
      <c r="E247" t="str">
        <f>_xlfn.XLOOKUP(tActuals_1[[#This Row],[Account]],'Account-Overview'!A:A,'Account-Overview'!B:B)</f>
        <v>Rent</v>
      </c>
      <c r="F247" s="10">
        <v>-97610.712100000004</v>
      </c>
    </row>
    <row r="248" spans="1:6" x14ac:dyDescent="0.25">
      <c r="A248">
        <v>2024</v>
      </c>
      <c r="B248">
        <v>2561400000</v>
      </c>
      <c r="C248" s="4" t="s">
        <v>83</v>
      </c>
      <c r="D248" s="4" t="s">
        <v>7</v>
      </c>
      <c r="E248" t="str">
        <f>_xlfn.XLOOKUP(tActuals_1[[#This Row],[Account]],'Account-Overview'!A:A,'Account-Overview'!B:B)</f>
        <v>Rent</v>
      </c>
      <c r="F248" s="10">
        <v>-97793.228500000027</v>
      </c>
    </row>
    <row r="249" spans="1:6" x14ac:dyDescent="0.25">
      <c r="A249">
        <v>2024</v>
      </c>
      <c r="B249">
        <v>2561400000</v>
      </c>
      <c r="C249" s="4" t="s">
        <v>84</v>
      </c>
      <c r="D249" s="4" t="s">
        <v>8</v>
      </c>
      <c r="E249" t="str">
        <f>_xlfn.XLOOKUP(tActuals_1[[#This Row],[Account]],'Account-Overview'!A:A,'Account-Overview'!B:B)</f>
        <v>Rent</v>
      </c>
      <c r="F249" s="10">
        <v>-97961.04340000001</v>
      </c>
    </row>
    <row r="250" spans="1:6" x14ac:dyDescent="0.25">
      <c r="A250">
        <v>2024</v>
      </c>
      <c r="B250">
        <v>2561400000</v>
      </c>
      <c r="C250" s="4" t="s">
        <v>85</v>
      </c>
      <c r="D250" s="4" t="s">
        <v>9</v>
      </c>
      <c r="E250" t="str">
        <f>_xlfn.XLOOKUP(tActuals_1[[#This Row],[Account]],'Account-Overview'!A:A,'Account-Overview'!B:B)</f>
        <v>Rent</v>
      </c>
      <c r="F250" s="10">
        <v>-97755.343400000012</v>
      </c>
    </row>
    <row r="251" spans="1:6" x14ac:dyDescent="0.25">
      <c r="A251">
        <v>2024</v>
      </c>
      <c r="B251">
        <v>2561400000</v>
      </c>
      <c r="C251" s="4" t="s">
        <v>86</v>
      </c>
      <c r="D251" s="4" t="s">
        <v>10</v>
      </c>
      <c r="E251" t="str">
        <f>_xlfn.XLOOKUP(tActuals_1[[#This Row],[Account]],'Account-Overview'!A:A,'Account-Overview'!B:B)</f>
        <v>Rent</v>
      </c>
      <c r="F251" s="10">
        <v>-97755.343400000012</v>
      </c>
    </row>
    <row r="252" spans="1:6" x14ac:dyDescent="0.25">
      <c r="A252">
        <v>2024</v>
      </c>
      <c r="B252">
        <v>2561400000</v>
      </c>
      <c r="C252" s="4" t="s">
        <v>87</v>
      </c>
      <c r="D252" s="4" t="s">
        <v>11</v>
      </c>
      <c r="E252" t="str">
        <f>_xlfn.XLOOKUP(tActuals_1[[#This Row],[Account]],'Account-Overview'!A:A,'Account-Overview'!B:B)</f>
        <v>Rent</v>
      </c>
      <c r="F252" s="10">
        <v>-97755.343400000012</v>
      </c>
    </row>
    <row r="253" spans="1:6" x14ac:dyDescent="0.25">
      <c r="A253">
        <v>2024</v>
      </c>
      <c r="B253">
        <v>2561400000</v>
      </c>
      <c r="C253" s="4" t="s">
        <v>88</v>
      </c>
      <c r="D253" s="4" t="s">
        <v>12</v>
      </c>
      <c r="E253" t="str">
        <f>_xlfn.XLOOKUP(tActuals_1[[#This Row],[Account]],'Account-Overview'!A:A,'Account-Overview'!B:B)</f>
        <v>Rent</v>
      </c>
      <c r="F253" s="10">
        <v>-97755.343400000012</v>
      </c>
    </row>
    <row r="254" spans="1:6" x14ac:dyDescent="0.25">
      <c r="A254">
        <v>2024</v>
      </c>
      <c r="B254">
        <v>2627300000</v>
      </c>
      <c r="C254" s="4" t="s">
        <v>77</v>
      </c>
      <c r="D254" s="4" t="s">
        <v>13</v>
      </c>
      <c r="E254" t="str">
        <f>_xlfn.XLOOKUP(tActuals_1[[#This Row],[Account]],'Account-Overview'!A:A,'Account-Overview'!B:B)</f>
        <v>Consulting (BCG, KPMG, etc.)</v>
      </c>
      <c r="F254" s="10">
        <v>-11832.966279750002</v>
      </c>
    </row>
    <row r="255" spans="1:6" x14ac:dyDescent="0.25">
      <c r="A255">
        <v>2024</v>
      </c>
      <c r="B255">
        <v>2627300000</v>
      </c>
      <c r="C255" s="4" t="s">
        <v>78</v>
      </c>
      <c r="D255" s="4" t="s">
        <v>2</v>
      </c>
      <c r="E255" t="str">
        <f>_xlfn.XLOOKUP(tActuals_1[[#This Row],[Account]],'Account-Overview'!A:A,'Account-Overview'!B:B)</f>
        <v>Consulting (BCG, KPMG, etc.)</v>
      </c>
      <c r="F255" s="10">
        <v>-10668.467240750004</v>
      </c>
    </row>
    <row r="256" spans="1:6" x14ac:dyDescent="0.25">
      <c r="A256">
        <v>2024</v>
      </c>
      <c r="B256">
        <v>2627300000</v>
      </c>
      <c r="C256" s="4" t="s">
        <v>79</v>
      </c>
      <c r="D256" s="4" t="s">
        <v>3</v>
      </c>
      <c r="E256" t="str">
        <f>_xlfn.XLOOKUP(tActuals_1[[#This Row],[Account]],'Account-Overview'!A:A,'Account-Overview'!B:B)</f>
        <v>Consulting (BCG, KPMG, etc.)</v>
      </c>
      <c r="F256" s="10">
        <v>-18729.565800000004</v>
      </c>
    </row>
    <row r="257" spans="1:6" x14ac:dyDescent="0.25">
      <c r="A257">
        <v>2024</v>
      </c>
      <c r="B257">
        <v>2627300000</v>
      </c>
      <c r="C257" s="4" t="s">
        <v>80</v>
      </c>
      <c r="D257" s="4" t="s">
        <v>4</v>
      </c>
      <c r="E257" t="str">
        <f>_xlfn.XLOOKUP(tActuals_1[[#This Row],[Account]],'Account-Overview'!A:A,'Account-Overview'!B:B)</f>
        <v>Consulting (BCG, KPMG, etc.)</v>
      </c>
      <c r="F257" s="10">
        <v>-13879.426000000003</v>
      </c>
    </row>
    <row r="258" spans="1:6" x14ac:dyDescent="0.25">
      <c r="A258">
        <v>2024</v>
      </c>
      <c r="B258">
        <v>2627300000</v>
      </c>
      <c r="C258" s="4" t="s">
        <v>81</v>
      </c>
      <c r="D258" s="4" t="s">
        <v>5</v>
      </c>
      <c r="E258" t="str">
        <f>_xlfn.XLOOKUP(tActuals_1[[#This Row],[Account]],'Account-Overview'!A:A,'Account-Overview'!B:B)</f>
        <v>Consulting (BCG, KPMG, etc.)</v>
      </c>
      <c r="F258" s="10">
        <v>-6075.5310000000018</v>
      </c>
    </row>
    <row r="259" spans="1:6" x14ac:dyDescent="0.25">
      <c r="A259">
        <v>2024</v>
      </c>
      <c r="B259">
        <v>2627300000</v>
      </c>
      <c r="C259" s="4" t="s">
        <v>82</v>
      </c>
      <c r="D259" s="4" t="s">
        <v>6</v>
      </c>
      <c r="E259" t="str">
        <f>_xlfn.XLOOKUP(tActuals_1[[#This Row],[Account]],'Account-Overview'!A:A,'Account-Overview'!B:B)</f>
        <v>Consulting (BCG, KPMG, etc.)</v>
      </c>
      <c r="F259" s="10">
        <v>-16220.158900000004</v>
      </c>
    </row>
    <row r="260" spans="1:6" x14ac:dyDescent="0.25">
      <c r="A260">
        <v>2024</v>
      </c>
      <c r="B260">
        <v>2627300000</v>
      </c>
      <c r="C260" s="4" t="s">
        <v>83</v>
      </c>
      <c r="D260" s="4" t="s">
        <v>7</v>
      </c>
      <c r="E260" t="str">
        <f>_xlfn.XLOOKUP(tActuals_1[[#This Row],[Account]],'Account-Overview'!A:A,'Account-Overview'!B:B)</f>
        <v>Consulting (BCG, KPMG, etc.)</v>
      </c>
      <c r="F260" s="10">
        <v>-11514.541500000003</v>
      </c>
    </row>
    <row r="261" spans="1:6" x14ac:dyDescent="0.25">
      <c r="A261">
        <v>2024</v>
      </c>
      <c r="B261">
        <v>2627300000</v>
      </c>
      <c r="C261" s="4" t="s">
        <v>84</v>
      </c>
      <c r="D261" s="4" t="s">
        <v>8</v>
      </c>
      <c r="E261" t="str">
        <f>_xlfn.XLOOKUP(tActuals_1[[#This Row],[Account]],'Account-Overview'!A:A,'Account-Overview'!B:B)</f>
        <v>Consulting (BCG, KPMG, etc.)</v>
      </c>
      <c r="F261" s="10">
        <v>-11156.684000000001</v>
      </c>
    </row>
    <row r="262" spans="1:6" x14ac:dyDescent="0.25">
      <c r="A262">
        <v>2024</v>
      </c>
      <c r="B262">
        <v>2627300000</v>
      </c>
      <c r="C262" s="4" t="s">
        <v>85</v>
      </c>
      <c r="D262" s="4" t="s">
        <v>9</v>
      </c>
      <c r="E262" t="str">
        <f>_xlfn.XLOOKUP(tActuals_1[[#This Row],[Account]],'Account-Overview'!A:A,'Account-Overview'!B:B)</f>
        <v>Consulting (BCG, KPMG, etc.)</v>
      </c>
      <c r="F262" s="10">
        <v>-13266.536800000002</v>
      </c>
    </row>
    <row r="263" spans="1:6" x14ac:dyDescent="0.25">
      <c r="A263">
        <v>2024</v>
      </c>
      <c r="B263">
        <v>2627300000</v>
      </c>
      <c r="C263" s="4" t="s">
        <v>86</v>
      </c>
      <c r="D263" s="4" t="s">
        <v>10</v>
      </c>
      <c r="E263" t="str">
        <f>_xlfn.XLOOKUP(tActuals_1[[#This Row],[Account]],'Account-Overview'!A:A,'Account-Overview'!B:B)</f>
        <v>Consulting (BCG, KPMG, etc.)</v>
      </c>
      <c r="F263" s="10">
        <v>-6528.4340000000011</v>
      </c>
    </row>
    <row r="264" spans="1:6" x14ac:dyDescent="0.25">
      <c r="A264">
        <v>2024</v>
      </c>
      <c r="B264">
        <v>2627300000</v>
      </c>
      <c r="C264" s="4" t="s">
        <v>87</v>
      </c>
      <c r="D264" s="4" t="s">
        <v>11</v>
      </c>
      <c r="E264" t="str">
        <f>_xlfn.XLOOKUP(tActuals_1[[#This Row],[Account]],'Account-Overview'!A:A,'Account-Overview'!B:B)</f>
        <v>Consulting (BCG, KPMG, etc.)</v>
      </c>
      <c r="F264" s="10">
        <v>-12028.489000000001</v>
      </c>
    </row>
    <row r="265" spans="1:6" x14ac:dyDescent="0.25">
      <c r="A265">
        <v>2024</v>
      </c>
      <c r="B265">
        <v>2627300000</v>
      </c>
      <c r="C265" s="4" t="s">
        <v>88</v>
      </c>
      <c r="D265" s="4" t="s">
        <v>12</v>
      </c>
      <c r="E265" t="str">
        <f>_xlfn.XLOOKUP(tActuals_1[[#This Row],[Account]],'Account-Overview'!A:A,'Account-Overview'!B:B)</f>
        <v>Consulting (BCG, KPMG, etc.)</v>
      </c>
      <c r="F265" s="10">
        <v>-31238.467240750007</v>
      </c>
    </row>
    <row r="266" spans="1:6" x14ac:dyDescent="0.25">
      <c r="A266">
        <v>2024</v>
      </c>
      <c r="B266">
        <v>2627100000</v>
      </c>
      <c r="C266" s="4" t="s">
        <v>77</v>
      </c>
      <c r="D266" s="4" t="s">
        <v>13</v>
      </c>
      <c r="E266" t="str">
        <f>_xlfn.XLOOKUP(tActuals_1[[#This Row],[Account]],'Account-Overview'!A:A,'Account-Overview'!B:B)</f>
        <v>Consulting (for different IT-Tools)</v>
      </c>
      <c r="F266" s="10">
        <v>-5825.3423401250011</v>
      </c>
    </row>
    <row r="267" spans="1:6" x14ac:dyDescent="0.25">
      <c r="A267">
        <v>2024</v>
      </c>
      <c r="B267">
        <v>2627100000</v>
      </c>
      <c r="C267" s="4" t="s">
        <v>78</v>
      </c>
      <c r="D267" s="4" t="s">
        <v>2</v>
      </c>
      <c r="E267" t="str">
        <f>_xlfn.XLOOKUP(tActuals_1[[#This Row],[Account]],'Account-Overview'!A:A,'Account-Overview'!B:B)</f>
        <v>Consulting (for different IT-Tools)</v>
      </c>
      <c r="F267" s="10">
        <v>-1805.8392563750003</v>
      </c>
    </row>
    <row r="268" spans="1:6" x14ac:dyDescent="0.25">
      <c r="A268">
        <v>2024</v>
      </c>
      <c r="B268">
        <v>2627100000</v>
      </c>
      <c r="C268" s="4" t="s">
        <v>79</v>
      </c>
      <c r="D268" s="4" t="s">
        <v>3</v>
      </c>
      <c r="E268" t="str">
        <f>_xlfn.XLOOKUP(tActuals_1[[#This Row],[Account]],'Account-Overview'!A:A,'Account-Overview'!B:B)</f>
        <v>Consulting (for different IT-Tools)</v>
      </c>
      <c r="F268" s="10">
        <v>-9079.840000000002</v>
      </c>
    </row>
    <row r="269" spans="1:6" x14ac:dyDescent="0.25">
      <c r="A269">
        <v>2024</v>
      </c>
      <c r="B269">
        <v>2627100000</v>
      </c>
      <c r="C269" s="4" t="s">
        <v>80</v>
      </c>
      <c r="D269" s="4" t="s">
        <v>4</v>
      </c>
      <c r="E269" t="str">
        <f>_xlfn.XLOOKUP(tActuals_1[[#This Row],[Account]],'Account-Overview'!A:A,'Account-Overview'!B:B)</f>
        <v>Consulting (for different IT-Tools)</v>
      </c>
      <c r="F269" s="10">
        <v>-10433.467000000002</v>
      </c>
    </row>
    <row r="270" spans="1:6" x14ac:dyDescent="0.25">
      <c r="A270">
        <v>2024</v>
      </c>
      <c r="B270">
        <v>2627100000</v>
      </c>
      <c r="C270" s="4" t="s">
        <v>81</v>
      </c>
      <c r="D270" s="4" t="s">
        <v>5</v>
      </c>
      <c r="E270" t="str">
        <f>_xlfn.XLOOKUP(tActuals_1[[#This Row],[Account]],'Account-Overview'!A:A,'Account-Overview'!B:B)</f>
        <v>Consulting (for different IT-Tools)</v>
      </c>
      <c r="F270" s="10">
        <v>-10286.197900000001</v>
      </c>
    </row>
    <row r="271" spans="1:6" x14ac:dyDescent="0.25">
      <c r="A271">
        <v>2024</v>
      </c>
      <c r="B271">
        <v>2627100000</v>
      </c>
      <c r="C271" s="4" t="s">
        <v>82</v>
      </c>
      <c r="D271" s="4" t="s">
        <v>6</v>
      </c>
      <c r="E271" t="str">
        <f>_xlfn.XLOOKUP(tActuals_1[[#This Row],[Account]],'Account-Overview'!A:A,'Account-Overview'!B:B)</f>
        <v>Consulting (for different IT-Tools)</v>
      </c>
      <c r="F271" s="10">
        <v>-3214.2198000000008</v>
      </c>
    </row>
    <row r="272" spans="1:6" x14ac:dyDescent="0.25">
      <c r="A272">
        <v>2024</v>
      </c>
      <c r="B272">
        <v>2627100000</v>
      </c>
      <c r="C272" s="4" t="s">
        <v>83</v>
      </c>
      <c r="D272" s="4" t="s">
        <v>7</v>
      </c>
      <c r="E272" t="str">
        <f>_xlfn.XLOOKUP(tActuals_1[[#This Row],[Account]],'Account-Overview'!A:A,'Account-Overview'!B:B)</f>
        <v>Consulting (for different IT-Tools)</v>
      </c>
      <c r="F272" s="10">
        <v>-4135.187100000001</v>
      </c>
    </row>
    <row r="273" spans="1:6" x14ac:dyDescent="0.25">
      <c r="A273">
        <v>2024</v>
      </c>
      <c r="B273">
        <v>2627100000</v>
      </c>
      <c r="C273" s="4" t="s">
        <v>84</v>
      </c>
      <c r="D273" s="4" t="s">
        <v>8</v>
      </c>
      <c r="E273" t="str">
        <f>_xlfn.XLOOKUP(tActuals_1[[#This Row],[Account]],'Account-Overview'!A:A,'Account-Overview'!B:B)</f>
        <v>Consulting (for different IT-Tools)</v>
      </c>
      <c r="F273" s="10">
        <v>-2146.4432000000002</v>
      </c>
    </row>
    <row r="274" spans="1:6" x14ac:dyDescent="0.25">
      <c r="A274">
        <v>2024</v>
      </c>
      <c r="B274">
        <v>2627100000</v>
      </c>
      <c r="C274" s="4" t="s">
        <v>85</v>
      </c>
      <c r="D274" s="4" t="s">
        <v>9</v>
      </c>
      <c r="E274" t="str">
        <f>_xlfn.XLOOKUP(tActuals_1[[#This Row],[Account]],'Account-Overview'!A:A,'Account-Overview'!B:B)</f>
        <v>Consulting (for different IT-Tools)</v>
      </c>
      <c r="F274" s="10">
        <v>-2135.0813000000003</v>
      </c>
    </row>
    <row r="275" spans="1:6" x14ac:dyDescent="0.25">
      <c r="A275">
        <v>2024</v>
      </c>
      <c r="B275">
        <v>2627100000</v>
      </c>
      <c r="C275" s="4" t="s">
        <v>86</v>
      </c>
      <c r="D275" s="4" t="s">
        <v>10</v>
      </c>
      <c r="E275" t="str">
        <f>_xlfn.XLOOKUP(tActuals_1[[#This Row],[Account]],'Account-Overview'!A:A,'Account-Overview'!B:B)</f>
        <v>Consulting (for different IT-Tools)</v>
      </c>
      <c r="F275" s="10">
        <v>-11247.119400000001</v>
      </c>
    </row>
    <row r="276" spans="1:6" x14ac:dyDescent="0.25">
      <c r="A276">
        <v>2024</v>
      </c>
      <c r="B276">
        <v>2627100000</v>
      </c>
      <c r="C276" s="4" t="s">
        <v>87</v>
      </c>
      <c r="D276" s="4" t="s">
        <v>11</v>
      </c>
      <c r="E276" t="str">
        <f>_xlfn.XLOOKUP(tActuals_1[[#This Row],[Account]],'Account-Overview'!A:A,'Account-Overview'!B:B)</f>
        <v>Consulting (for different IT-Tools)</v>
      </c>
      <c r="F276" s="10">
        <v>-1803.5413000000003</v>
      </c>
    </row>
    <row r="277" spans="1:6" x14ac:dyDescent="0.25">
      <c r="A277">
        <v>2024</v>
      </c>
      <c r="B277">
        <v>2627100000</v>
      </c>
      <c r="C277" s="4" t="s">
        <v>88</v>
      </c>
      <c r="D277" s="4" t="s">
        <v>12</v>
      </c>
      <c r="E277" t="str">
        <f>_xlfn.XLOOKUP(tActuals_1[[#This Row],[Account]],'Account-Overview'!A:A,'Account-Overview'!B:B)</f>
        <v>Consulting (for different IT-Tools)</v>
      </c>
      <c r="F277" s="10">
        <v>-2119.2666000000004</v>
      </c>
    </row>
    <row r="278" spans="1:6" x14ac:dyDescent="0.25">
      <c r="A278">
        <v>2024</v>
      </c>
      <c r="B278">
        <v>2601100200</v>
      </c>
      <c r="C278" s="4" t="s">
        <v>77</v>
      </c>
      <c r="D278" s="4" t="s">
        <v>13</v>
      </c>
      <c r="E278" t="str">
        <f>_xlfn.XLOOKUP(tActuals_1[[#This Row],[Account]],'Account-Overview'!A:A,'Account-Overview'!B:B)</f>
        <v>Travel</v>
      </c>
      <c r="F278" s="10">
        <v>-12827.642847250003</v>
      </c>
    </row>
    <row r="279" spans="1:6" x14ac:dyDescent="0.25">
      <c r="A279">
        <v>2024</v>
      </c>
      <c r="B279">
        <v>2601100200</v>
      </c>
      <c r="C279" s="4" t="s">
        <v>78</v>
      </c>
      <c r="D279" s="4" t="s">
        <v>2</v>
      </c>
      <c r="E279" t="str">
        <f>_xlfn.XLOOKUP(tActuals_1[[#This Row],[Account]],'Account-Overview'!A:A,'Account-Overview'!B:B)</f>
        <v>Travel</v>
      </c>
      <c r="F279" s="10">
        <v>-8990.7802792500006</v>
      </c>
    </row>
    <row r="280" spans="1:6" x14ac:dyDescent="0.25">
      <c r="A280">
        <v>2024</v>
      </c>
      <c r="B280">
        <v>2601100200</v>
      </c>
      <c r="C280" s="4" t="s">
        <v>80</v>
      </c>
      <c r="D280" s="4" t="s">
        <v>4</v>
      </c>
      <c r="E280" t="str">
        <f>_xlfn.XLOOKUP(tActuals_1[[#This Row],[Account]],'Account-Overview'!A:A,'Account-Overview'!B:B)</f>
        <v>Travel</v>
      </c>
      <c r="F280" s="10">
        <v>-3847.8000000000006</v>
      </c>
    </row>
    <row r="281" spans="1:6" x14ac:dyDescent="0.25">
      <c r="A281">
        <v>2024</v>
      </c>
      <c r="B281">
        <v>2601100200</v>
      </c>
      <c r="C281" s="4" t="s">
        <v>81</v>
      </c>
      <c r="D281" s="4" t="s">
        <v>5</v>
      </c>
      <c r="E281" t="str">
        <f>_xlfn.XLOOKUP(tActuals_1[[#This Row],[Account]],'Account-Overview'!A:A,'Account-Overview'!B:B)</f>
        <v>Travel</v>
      </c>
      <c r="F281" s="10">
        <v>-7295.2231000000002</v>
      </c>
    </row>
    <row r="282" spans="1:6" x14ac:dyDescent="0.25">
      <c r="A282">
        <v>2024</v>
      </c>
      <c r="B282">
        <v>2601100200</v>
      </c>
      <c r="C282" s="4" t="s">
        <v>82</v>
      </c>
      <c r="D282" s="4" t="s">
        <v>6</v>
      </c>
      <c r="E282" t="str">
        <f>_xlfn.XLOOKUP(tActuals_1[[#This Row],[Account]],'Account-Overview'!A:A,'Account-Overview'!B:B)</f>
        <v>Travel</v>
      </c>
      <c r="F282" s="10">
        <v>-7630.3810000000012</v>
      </c>
    </row>
    <row r="283" spans="1:6" x14ac:dyDescent="0.25">
      <c r="A283">
        <v>2024</v>
      </c>
      <c r="B283">
        <v>2601100200</v>
      </c>
      <c r="C283" s="4" t="s">
        <v>83</v>
      </c>
      <c r="D283" s="4" t="s">
        <v>7</v>
      </c>
      <c r="E283" t="str">
        <f>_xlfn.XLOOKUP(tActuals_1[[#This Row],[Account]],'Account-Overview'!A:A,'Account-Overview'!B:B)</f>
        <v>Travel</v>
      </c>
      <c r="F283" s="10">
        <v>-10130.797600000002</v>
      </c>
    </row>
    <row r="284" spans="1:6" x14ac:dyDescent="0.25">
      <c r="A284">
        <v>2024</v>
      </c>
      <c r="B284">
        <v>2601100200</v>
      </c>
      <c r="C284" s="4" t="s">
        <v>84</v>
      </c>
      <c r="D284" s="4" t="s">
        <v>8</v>
      </c>
      <c r="E284" t="str">
        <f>_xlfn.XLOOKUP(tActuals_1[[#This Row],[Account]],'Account-Overview'!A:A,'Account-Overview'!B:B)</f>
        <v>Travel</v>
      </c>
      <c r="F284" s="10">
        <v>-1985.7673000000004</v>
      </c>
    </row>
    <row r="285" spans="1:6" x14ac:dyDescent="0.25">
      <c r="A285">
        <v>2024</v>
      </c>
      <c r="B285">
        <v>2601100200</v>
      </c>
      <c r="C285" s="4" t="s">
        <v>86</v>
      </c>
      <c r="D285" s="4" t="s">
        <v>10</v>
      </c>
      <c r="E285" t="str">
        <f>_xlfn.XLOOKUP(tActuals_1[[#This Row],[Account]],'Account-Overview'!A:A,'Account-Overview'!B:B)</f>
        <v>Travel</v>
      </c>
      <c r="F285" s="10">
        <v>-10368.163300000002</v>
      </c>
    </row>
    <row r="286" spans="1:6" x14ac:dyDescent="0.25">
      <c r="A286">
        <v>2024</v>
      </c>
      <c r="B286">
        <v>2601100200</v>
      </c>
      <c r="C286" s="4" t="s">
        <v>87</v>
      </c>
      <c r="D286" s="4" t="s">
        <v>11</v>
      </c>
      <c r="E286" t="str">
        <f>_xlfn.XLOOKUP(tActuals_1[[#This Row],[Account]],'Account-Overview'!A:A,'Account-Overview'!B:B)</f>
        <v>Travel</v>
      </c>
      <c r="F286" s="10">
        <v>-5253.4328000000014</v>
      </c>
    </row>
    <row r="287" spans="1:6" x14ac:dyDescent="0.25">
      <c r="A287">
        <v>2024</v>
      </c>
      <c r="B287">
        <v>2601100200</v>
      </c>
      <c r="C287" s="4" t="s">
        <v>88</v>
      </c>
      <c r="D287" s="4" t="s">
        <v>12</v>
      </c>
      <c r="E287" t="str">
        <f>_xlfn.XLOOKUP(tActuals_1[[#This Row],[Account]],'Account-Overview'!A:A,'Account-Overview'!B:B)</f>
        <v>Travel</v>
      </c>
      <c r="F287" s="10">
        <v>-6869.5330000000013</v>
      </c>
    </row>
    <row r="288" spans="1:6" x14ac:dyDescent="0.25">
      <c r="A288">
        <v>2024</v>
      </c>
      <c r="B288">
        <v>2633100000</v>
      </c>
      <c r="C288" s="4" t="s">
        <v>77</v>
      </c>
      <c r="D288" s="4" t="s">
        <v>13</v>
      </c>
      <c r="E288" t="str">
        <f>_xlfn.XLOOKUP(tActuals_1[[#This Row],[Account]],'Account-Overview'!A:A,'Account-Overview'!B:B)</f>
        <v>Insurance (Cyber Security)</v>
      </c>
      <c r="F288" s="10">
        <v>-71770.089737500006</v>
      </c>
    </row>
    <row r="289" spans="1:6" x14ac:dyDescent="0.25">
      <c r="A289">
        <v>2024</v>
      </c>
      <c r="B289">
        <v>2633100000</v>
      </c>
      <c r="C289" s="4" t="s">
        <v>78</v>
      </c>
      <c r="D289" s="4" t="s">
        <v>2</v>
      </c>
      <c r="E289" t="str">
        <f>_xlfn.XLOOKUP(tActuals_1[[#This Row],[Account]],'Account-Overview'!A:A,'Account-Overview'!B:B)</f>
        <v>Insurance (Cyber Security)</v>
      </c>
      <c r="F289" s="10">
        <v>-13956.64980325</v>
      </c>
    </row>
    <row r="290" spans="1:6" x14ac:dyDescent="0.25">
      <c r="A290">
        <v>2024</v>
      </c>
      <c r="B290">
        <v>2633100000</v>
      </c>
      <c r="C290" s="4" t="s">
        <v>82</v>
      </c>
      <c r="D290" s="4" t="s">
        <v>6</v>
      </c>
      <c r="E290" t="str">
        <f>_xlfn.XLOOKUP(tActuals_1[[#This Row],[Account]],'Account-Overview'!A:A,'Account-Overview'!B:B)</f>
        <v>Insurance (Cyber Security)</v>
      </c>
      <c r="F290" s="10">
        <v>-33073.329300000005</v>
      </c>
    </row>
    <row r="291" spans="1:6" x14ac:dyDescent="0.25">
      <c r="A291">
        <v>2024</v>
      </c>
      <c r="B291">
        <v>2633100000</v>
      </c>
      <c r="C291" s="4" t="s">
        <v>83</v>
      </c>
      <c r="D291" s="4" t="s">
        <v>7</v>
      </c>
      <c r="E291" t="str">
        <f>_xlfn.XLOOKUP(tActuals_1[[#This Row],[Account]],'Account-Overview'!A:A,'Account-Overview'!B:B)</f>
        <v>Insurance (Cyber Security)</v>
      </c>
      <c r="F291" s="10">
        <v>-8268.3293000000012</v>
      </c>
    </row>
    <row r="292" spans="1:6" x14ac:dyDescent="0.25">
      <c r="A292">
        <v>2024</v>
      </c>
      <c r="B292">
        <v>2633100000</v>
      </c>
      <c r="C292" s="4" t="s">
        <v>84</v>
      </c>
      <c r="D292" s="4" t="s">
        <v>8</v>
      </c>
      <c r="E292" t="str">
        <f>_xlfn.XLOOKUP(tActuals_1[[#This Row],[Account]],'Account-Overview'!A:A,'Account-Overview'!B:B)</f>
        <v>Insurance (Cyber Security)</v>
      </c>
      <c r="F292" s="10">
        <v>-8268.3293000000012</v>
      </c>
    </row>
    <row r="293" spans="1:6" x14ac:dyDescent="0.25">
      <c r="A293">
        <v>2024</v>
      </c>
      <c r="B293">
        <v>2633100000</v>
      </c>
      <c r="C293" s="4" t="s">
        <v>85</v>
      </c>
      <c r="D293" s="4" t="s">
        <v>9</v>
      </c>
      <c r="E293" t="str">
        <f>_xlfn.XLOOKUP(tActuals_1[[#This Row],[Account]],'Account-Overview'!A:A,'Account-Overview'!B:B)</f>
        <v>Insurance (Cyber Security)</v>
      </c>
      <c r="F293" s="10">
        <v>-8268.3293000000012</v>
      </c>
    </row>
    <row r="294" spans="1:6" x14ac:dyDescent="0.25">
      <c r="A294">
        <v>2024</v>
      </c>
      <c r="B294">
        <v>2633100000</v>
      </c>
      <c r="C294" s="4" t="s">
        <v>86</v>
      </c>
      <c r="D294" s="4" t="s">
        <v>10</v>
      </c>
      <c r="E294" t="str">
        <f>_xlfn.XLOOKUP(tActuals_1[[#This Row],[Account]],'Account-Overview'!A:A,'Account-Overview'!B:B)</f>
        <v>Insurance (Cyber Security)</v>
      </c>
      <c r="F294" s="10">
        <v>-8268.3293000000012</v>
      </c>
    </row>
    <row r="295" spans="1:6" x14ac:dyDescent="0.25">
      <c r="A295">
        <v>2024</v>
      </c>
      <c r="B295">
        <v>2633100000</v>
      </c>
      <c r="C295" s="4" t="s">
        <v>87</v>
      </c>
      <c r="D295" s="4" t="s">
        <v>11</v>
      </c>
      <c r="E295" t="str">
        <f>_xlfn.XLOOKUP(tActuals_1[[#This Row],[Account]],'Account-Overview'!A:A,'Account-Overview'!B:B)</f>
        <v>Insurance (Cyber Security)</v>
      </c>
      <c r="F295" s="10">
        <v>-8268.3293000000012</v>
      </c>
    </row>
    <row r="296" spans="1:6" x14ac:dyDescent="0.25">
      <c r="A296">
        <v>2024</v>
      </c>
      <c r="B296">
        <v>2633100000</v>
      </c>
      <c r="C296" s="4" t="s">
        <v>88</v>
      </c>
      <c r="D296" s="4" t="s">
        <v>12</v>
      </c>
      <c r="E296" t="str">
        <f>_xlfn.XLOOKUP(tActuals_1[[#This Row],[Account]],'Account-Overview'!A:A,'Account-Overview'!B:B)</f>
        <v>Insurance (Cyber Security)</v>
      </c>
      <c r="F296" s="10">
        <v>-8268.3293000000012</v>
      </c>
    </row>
    <row r="297" spans="1:6" x14ac:dyDescent="0.25">
      <c r="A297">
        <v>2024</v>
      </c>
      <c r="B297">
        <v>2633600000</v>
      </c>
      <c r="C297" s="4" t="s">
        <v>77</v>
      </c>
      <c r="D297" s="4" t="s">
        <v>13</v>
      </c>
      <c r="E297" t="str">
        <f>_xlfn.XLOOKUP(tActuals_1[[#This Row],[Account]],'Account-Overview'!A:A,'Account-Overview'!B:B)</f>
        <v>Insurance (Legal Protection)</v>
      </c>
      <c r="F297" s="10">
        <v>-26991.973556625006</v>
      </c>
    </row>
    <row r="298" spans="1:6" x14ac:dyDescent="0.25">
      <c r="A298">
        <v>2024</v>
      </c>
      <c r="B298">
        <v>2633600000</v>
      </c>
      <c r="C298" s="4" t="s">
        <v>78</v>
      </c>
      <c r="D298" s="4" t="s">
        <v>2</v>
      </c>
      <c r="E298" t="str">
        <f>_xlfn.XLOOKUP(tActuals_1[[#This Row],[Account]],'Account-Overview'!A:A,'Account-Overview'!B:B)</f>
        <v>Insurance (Legal Protection)</v>
      </c>
      <c r="F298" s="10">
        <v>-28304.255113750001</v>
      </c>
    </row>
    <row r="299" spans="1:6" x14ac:dyDescent="0.25">
      <c r="A299">
        <v>2024</v>
      </c>
      <c r="B299">
        <v>2633600000</v>
      </c>
      <c r="C299" s="4" t="s">
        <v>79</v>
      </c>
      <c r="D299" s="4" t="s">
        <v>3</v>
      </c>
      <c r="E299" t="str">
        <f>_xlfn.XLOOKUP(tActuals_1[[#This Row],[Account]],'Account-Overview'!A:A,'Account-Overview'!B:B)</f>
        <v>Insurance (Legal Protection)</v>
      </c>
      <c r="F299" s="10">
        <v>-27343.580000000005</v>
      </c>
    </row>
    <row r="300" spans="1:6" x14ac:dyDescent="0.25">
      <c r="A300">
        <v>2024</v>
      </c>
      <c r="B300">
        <v>2633600000</v>
      </c>
      <c r="C300" s="4" t="s">
        <v>80</v>
      </c>
      <c r="D300" s="4" t="s">
        <v>4</v>
      </c>
      <c r="E300" t="str">
        <f>_xlfn.XLOOKUP(tActuals_1[[#This Row],[Account]],'Account-Overview'!A:A,'Account-Overview'!B:B)</f>
        <v>Insurance (Legal Protection)</v>
      </c>
      <c r="F300" s="10">
        <v>-24900.348000000002</v>
      </c>
    </row>
    <row r="301" spans="1:6" x14ac:dyDescent="0.25">
      <c r="A301">
        <v>2024</v>
      </c>
      <c r="B301">
        <v>2633600000</v>
      </c>
      <c r="C301" s="4" t="s">
        <v>81</v>
      </c>
      <c r="D301" s="4" t="s">
        <v>5</v>
      </c>
      <c r="E301" t="str">
        <f>_xlfn.XLOOKUP(tActuals_1[[#This Row],[Account]],'Account-Overview'!A:A,'Account-Overview'!B:B)</f>
        <v>Insurance (Legal Protection)</v>
      </c>
      <c r="F301" s="10">
        <v>-26122.569000000007</v>
      </c>
    </row>
    <row r="302" spans="1:6" x14ac:dyDescent="0.25">
      <c r="A302">
        <v>2024</v>
      </c>
      <c r="B302">
        <v>2633600000</v>
      </c>
      <c r="C302" s="4" t="s">
        <v>82</v>
      </c>
      <c r="D302" s="4" t="s">
        <v>6</v>
      </c>
      <c r="E302" t="str">
        <f>_xlfn.XLOOKUP(tActuals_1[[#This Row],[Account]],'Account-Overview'!A:A,'Account-Overview'!B:B)</f>
        <v>Insurance (Legal Protection)</v>
      </c>
      <c r="F302" s="10">
        <v>-27268.221200000007</v>
      </c>
    </row>
    <row r="303" spans="1:6" x14ac:dyDescent="0.25">
      <c r="A303">
        <v>2024</v>
      </c>
      <c r="B303">
        <v>2633600000</v>
      </c>
      <c r="C303" s="4" t="s">
        <v>83</v>
      </c>
      <c r="D303" s="4" t="s">
        <v>7</v>
      </c>
      <c r="E303" t="str">
        <f>_xlfn.XLOOKUP(tActuals_1[[#This Row],[Account]],'Account-Overview'!A:A,'Account-Overview'!B:B)</f>
        <v>Insurance (Legal Protection)</v>
      </c>
      <c r="F303" s="10">
        <v>-31253.670800000007</v>
      </c>
    </row>
    <row r="304" spans="1:6" x14ac:dyDescent="0.25">
      <c r="A304">
        <v>2024</v>
      </c>
      <c r="B304">
        <v>2633600000</v>
      </c>
      <c r="C304" s="4" t="s">
        <v>84</v>
      </c>
      <c r="D304" s="4" t="s">
        <v>8</v>
      </c>
      <c r="E304" t="str">
        <f>_xlfn.XLOOKUP(tActuals_1[[#This Row],[Account]],'Account-Overview'!A:A,'Account-Overview'!B:B)</f>
        <v>Insurance (Legal Protection)</v>
      </c>
      <c r="F304" s="10">
        <v>-29210.198600000003</v>
      </c>
    </row>
    <row r="305" spans="1:8" x14ac:dyDescent="0.25">
      <c r="A305">
        <v>2024</v>
      </c>
      <c r="B305">
        <v>2633600000</v>
      </c>
      <c r="C305" s="4" t="s">
        <v>85</v>
      </c>
      <c r="D305" s="4" t="s">
        <v>9</v>
      </c>
      <c r="E305" t="str">
        <f>_xlfn.XLOOKUP(tActuals_1[[#This Row],[Account]],'Account-Overview'!A:A,'Account-Overview'!B:B)</f>
        <v>Insurance (Legal Protection)</v>
      </c>
      <c r="F305" s="10">
        <v>-26770.209400000003</v>
      </c>
    </row>
    <row r="306" spans="1:8" x14ac:dyDescent="0.25">
      <c r="A306">
        <v>2024</v>
      </c>
      <c r="B306">
        <v>2633600000</v>
      </c>
      <c r="C306" s="4" t="s">
        <v>86</v>
      </c>
      <c r="D306" s="4" t="s">
        <v>10</v>
      </c>
      <c r="E306" t="str">
        <f>_xlfn.XLOOKUP(tActuals_1[[#This Row],[Account]],'Account-Overview'!A:A,'Account-Overview'!B:B)</f>
        <v>Insurance (Legal Protection)</v>
      </c>
      <c r="F306" s="10">
        <v>-28728.921100000003</v>
      </c>
      <c r="H306" s="14"/>
    </row>
    <row r="307" spans="1:8" x14ac:dyDescent="0.25">
      <c r="A307">
        <v>2024</v>
      </c>
      <c r="B307">
        <v>2633600000</v>
      </c>
      <c r="C307" s="4" t="s">
        <v>87</v>
      </c>
      <c r="D307" s="4" t="s">
        <v>11</v>
      </c>
      <c r="E307" t="str">
        <f>_xlfn.XLOOKUP(tActuals_1[[#This Row],[Account]],'Account-Overview'!A:A,'Account-Overview'!B:B)</f>
        <v>Insurance (Legal Protection)</v>
      </c>
      <c r="F307" s="10">
        <v>-30726.582700000003</v>
      </c>
      <c r="H307" s="14"/>
    </row>
    <row r="308" spans="1:8" x14ac:dyDescent="0.25">
      <c r="A308">
        <v>2024</v>
      </c>
      <c r="B308">
        <v>2633600000</v>
      </c>
      <c r="C308" s="4" t="s">
        <v>88</v>
      </c>
      <c r="D308" s="4" t="s">
        <v>12</v>
      </c>
      <c r="E308" t="str">
        <f>_xlfn.XLOOKUP(tActuals_1[[#This Row],[Account]],'Account-Overview'!A:A,'Account-Overview'!B:B)</f>
        <v>Insurance (Legal Protection)</v>
      </c>
      <c r="F308" s="10">
        <v>-30158.354600000002</v>
      </c>
      <c r="H308" s="14"/>
    </row>
    <row r="309" spans="1:8" x14ac:dyDescent="0.25">
      <c r="A309">
        <v>2024</v>
      </c>
      <c r="B309">
        <v>2616100000</v>
      </c>
      <c r="C309" s="4" t="s">
        <v>79</v>
      </c>
      <c r="D309" s="4" t="s">
        <v>3</v>
      </c>
      <c r="E309" t="str">
        <f>_xlfn.XLOOKUP(tActuals_1[[#This Row],[Account]],'Account-Overview'!A:A,'Account-Overview'!B:B)</f>
        <v>Insurance (Others)</v>
      </c>
      <c r="F309" s="10">
        <v>-36964.048000000003</v>
      </c>
      <c r="H309" s="14"/>
    </row>
    <row r="310" spans="1:8" x14ac:dyDescent="0.25">
      <c r="A310">
        <v>2025</v>
      </c>
      <c r="B310">
        <v>2003100005</v>
      </c>
      <c r="C310" s="4" t="s">
        <v>90</v>
      </c>
      <c r="D310" s="4" t="s">
        <v>67</v>
      </c>
      <c r="E310" t="str">
        <f>_xlfn.XLOOKUP(tActuals_1[[#This Row],[Account]],'Account-Overview'!A:A,'Account-Overview'!B:B)</f>
        <v>Revenue (DE)</v>
      </c>
      <c r="F310" s="10">
        <v>15587141.759999998</v>
      </c>
      <c r="H310" s="14"/>
    </row>
    <row r="311" spans="1:8" x14ac:dyDescent="0.25">
      <c r="A311">
        <v>2025</v>
      </c>
      <c r="B311">
        <v>2003100005</v>
      </c>
      <c r="C311" s="4" t="s">
        <v>91</v>
      </c>
      <c r="D311" s="4" t="s">
        <v>68</v>
      </c>
      <c r="E311" t="str">
        <f>_xlfn.XLOOKUP(tActuals_1[[#This Row],[Account]],'Account-Overview'!A:A,'Account-Overview'!B:B)</f>
        <v>Revenue (DE)</v>
      </c>
      <c r="F311" s="10">
        <v>21550395.090000004</v>
      </c>
      <c r="H311" s="14"/>
    </row>
    <row r="312" spans="1:8" x14ac:dyDescent="0.25">
      <c r="A312">
        <v>2025</v>
      </c>
      <c r="B312">
        <v>2003100005</v>
      </c>
      <c r="C312" s="4" t="s">
        <v>92</v>
      </c>
      <c r="D312" s="4" t="s">
        <v>69</v>
      </c>
      <c r="E312" t="str">
        <f>_xlfn.XLOOKUP(tActuals_1[[#This Row],[Account]],'Account-Overview'!A:A,'Account-Overview'!B:B)</f>
        <v>Revenue (DE)</v>
      </c>
      <c r="F312" s="10">
        <v>25921509.449999996</v>
      </c>
      <c r="H312" s="14"/>
    </row>
    <row r="313" spans="1:8" x14ac:dyDescent="0.25">
      <c r="A313">
        <v>2025</v>
      </c>
      <c r="B313">
        <v>2003100005</v>
      </c>
      <c r="C313" s="4" t="s">
        <v>93</v>
      </c>
      <c r="D313" s="4" t="s">
        <v>70</v>
      </c>
      <c r="E313" t="str">
        <f>_xlfn.XLOOKUP(tActuals_1[[#This Row],[Account]],'Account-Overview'!A:A,'Account-Overview'!B:B)</f>
        <v>Revenue (DE)</v>
      </c>
      <c r="F313" s="10">
        <v>19150184.419999998</v>
      </c>
      <c r="H313" s="14"/>
    </row>
    <row r="314" spans="1:8" x14ac:dyDescent="0.25">
      <c r="A314">
        <v>2025</v>
      </c>
      <c r="B314">
        <v>2003100005</v>
      </c>
      <c r="C314" s="4" t="s">
        <v>94</v>
      </c>
      <c r="D314" s="4" t="s">
        <v>71</v>
      </c>
      <c r="E314" t="str">
        <f>_xlfn.XLOOKUP(tActuals_1[[#This Row],[Account]],'Account-Overview'!A:A,'Account-Overview'!B:B)</f>
        <v>Revenue (DE)</v>
      </c>
      <c r="F314" s="10">
        <v>20358143.84</v>
      </c>
      <c r="H314" s="14"/>
    </row>
    <row r="315" spans="1:8" x14ac:dyDescent="0.25">
      <c r="A315">
        <v>2025</v>
      </c>
      <c r="B315">
        <v>2003100005</v>
      </c>
      <c r="C315" s="4" t="s">
        <v>95</v>
      </c>
      <c r="D315" s="4" t="s">
        <v>72</v>
      </c>
      <c r="E315" t="str">
        <f>_xlfn.XLOOKUP(tActuals_1[[#This Row],[Account]],'Account-Overview'!A:A,'Account-Overview'!B:B)</f>
        <v>Revenue (DE)</v>
      </c>
      <c r="F315" s="10">
        <v>18521907.539999999</v>
      </c>
      <c r="H315" s="14"/>
    </row>
    <row r="316" spans="1:8" x14ac:dyDescent="0.25">
      <c r="A316">
        <v>2025</v>
      </c>
      <c r="B316">
        <v>2003100006</v>
      </c>
      <c r="C316" s="4" t="s">
        <v>90</v>
      </c>
      <c r="D316" s="4" t="s">
        <v>67</v>
      </c>
      <c r="E316" t="str">
        <f>_xlfn.XLOOKUP(tActuals_1[[#This Row],[Account]],'Account-Overview'!A:A,'Account-Overview'!B:B)</f>
        <v>Revenue (PL)</v>
      </c>
      <c r="F316" s="10">
        <v>1162130.4500000002</v>
      </c>
      <c r="H316" s="14"/>
    </row>
    <row r="317" spans="1:8" x14ac:dyDescent="0.25">
      <c r="A317">
        <v>2025</v>
      </c>
      <c r="B317">
        <v>2003100006</v>
      </c>
      <c r="C317" s="4" t="s">
        <v>91</v>
      </c>
      <c r="D317" s="4" t="s">
        <v>68</v>
      </c>
      <c r="E317" t="str">
        <f>_xlfn.XLOOKUP(tActuals_1[[#This Row],[Account]],'Account-Overview'!A:A,'Account-Overview'!B:B)</f>
        <v>Revenue (PL)</v>
      </c>
      <c r="F317" s="10">
        <v>1375683.25</v>
      </c>
      <c r="H317" s="14"/>
    </row>
    <row r="318" spans="1:8" x14ac:dyDescent="0.25">
      <c r="A318">
        <v>2025</v>
      </c>
      <c r="B318">
        <v>2003100006</v>
      </c>
      <c r="C318" s="4" t="s">
        <v>92</v>
      </c>
      <c r="D318" s="4" t="s">
        <v>69</v>
      </c>
      <c r="E318" t="str">
        <f>_xlfn.XLOOKUP(tActuals_1[[#This Row],[Account]],'Account-Overview'!A:A,'Account-Overview'!B:B)</f>
        <v>Revenue (PL)</v>
      </c>
      <c r="F318" s="10">
        <v>1741665.93</v>
      </c>
    </row>
    <row r="319" spans="1:8" x14ac:dyDescent="0.25">
      <c r="A319">
        <v>2025</v>
      </c>
      <c r="B319">
        <v>2003100006</v>
      </c>
      <c r="C319" s="4" t="s">
        <v>93</v>
      </c>
      <c r="D319" s="4" t="s">
        <v>70</v>
      </c>
      <c r="E319" t="str">
        <f>_xlfn.XLOOKUP(tActuals_1[[#This Row],[Account]],'Account-Overview'!A:A,'Account-Overview'!B:B)</f>
        <v>Revenue (PL)</v>
      </c>
      <c r="F319" s="10">
        <v>1276638.8700000001</v>
      </c>
    </row>
    <row r="320" spans="1:8" x14ac:dyDescent="0.25">
      <c r="A320">
        <v>2025</v>
      </c>
      <c r="B320">
        <v>2003100006</v>
      </c>
      <c r="C320" s="4" t="s">
        <v>94</v>
      </c>
      <c r="D320" s="4" t="s">
        <v>71</v>
      </c>
      <c r="E320" t="str">
        <f>_xlfn.XLOOKUP(tActuals_1[[#This Row],[Account]],'Account-Overview'!A:A,'Account-Overview'!B:B)</f>
        <v>Revenue (PL)</v>
      </c>
      <c r="F320" s="10">
        <v>1297552.5299999998</v>
      </c>
    </row>
    <row r="321" spans="1:6" x14ac:dyDescent="0.25">
      <c r="A321">
        <v>2025</v>
      </c>
      <c r="B321">
        <v>2003100006</v>
      </c>
      <c r="C321" s="4" t="s">
        <v>95</v>
      </c>
      <c r="D321" s="4" t="s">
        <v>72</v>
      </c>
      <c r="E321" t="str">
        <f>_xlfn.XLOOKUP(tActuals_1[[#This Row],[Account]],'Account-Overview'!A:A,'Account-Overview'!B:B)</f>
        <v>Revenue (PL)</v>
      </c>
      <c r="F321" s="10">
        <v>1173863.2000000002</v>
      </c>
    </row>
    <row r="322" spans="1:6" x14ac:dyDescent="0.25">
      <c r="A322">
        <v>2025</v>
      </c>
      <c r="B322">
        <v>2003100007</v>
      </c>
      <c r="C322" s="4" t="s">
        <v>90</v>
      </c>
      <c r="D322" s="4" t="s">
        <v>67</v>
      </c>
      <c r="E322" t="str">
        <f>_xlfn.XLOOKUP(tActuals_1[[#This Row],[Account]],'Account-Overview'!A:A,'Account-Overview'!B:B)</f>
        <v>Revenue (NL)</v>
      </c>
      <c r="F322" s="10">
        <v>1520904.79</v>
      </c>
    </row>
    <row r="323" spans="1:6" x14ac:dyDescent="0.25">
      <c r="A323">
        <v>2025</v>
      </c>
      <c r="B323">
        <v>2003100007</v>
      </c>
      <c r="C323" s="4" t="s">
        <v>91</v>
      </c>
      <c r="D323" s="4" t="s">
        <v>68</v>
      </c>
      <c r="E323" t="str">
        <f>_xlfn.XLOOKUP(tActuals_1[[#This Row],[Account]],'Account-Overview'!A:A,'Account-Overview'!B:B)</f>
        <v>Revenue (NL)</v>
      </c>
      <c r="F323" s="10">
        <v>1165766.1599999999</v>
      </c>
    </row>
    <row r="324" spans="1:6" x14ac:dyDescent="0.25">
      <c r="A324">
        <v>2025</v>
      </c>
      <c r="B324">
        <v>2003100007</v>
      </c>
      <c r="C324" s="4" t="s">
        <v>92</v>
      </c>
      <c r="D324" s="4" t="s">
        <v>69</v>
      </c>
      <c r="E324" t="str">
        <f>_xlfn.XLOOKUP(tActuals_1[[#This Row],[Account]],'Account-Overview'!A:A,'Account-Overview'!B:B)</f>
        <v>Revenue (NL)</v>
      </c>
      <c r="F324" s="10">
        <v>1397252.56</v>
      </c>
    </row>
    <row r="325" spans="1:6" x14ac:dyDescent="0.25">
      <c r="A325">
        <v>2025</v>
      </c>
      <c r="B325">
        <v>2003100007</v>
      </c>
      <c r="C325" s="4" t="s">
        <v>93</v>
      </c>
      <c r="D325" s="4" t="s">
        <v>70</v>
      </c>
      <c r="E325" t="str">
        <f>_xlfn.XLOOKUP(tActuals_1[[#This Row],[Account]],'Account-Overview'!A:A,'Account-Overview'!B:B)</f>
        <v>Revenue (NL)</v>
      </c>
      <c r="F325" s="10">
        <v>1562865.42</v>
      </c>
    </row>
    <row r="326" spans="1:6" x14ac:dyDescent="0.25">
      <c r="A326">
        <v>2025</v>
      </c>
      <c r="B326">
        <v>2003100007</v>
      </c>
      <c r="C326" s="4" t="s">
        <v>94</v>
      </c>
      <c r="D326" s="4" t="s">
        <v>71</v>
      </c>
      <c r="E326" t="str">
        <f>_xlfn.XLOOKUP(tActuals_1[[#This Row],[Account]],'Account-Overview'!A:A,'Account-Overview'!B:B)</f>
        <v>Revenue (NL)</v>
      </c>
      <c r="F326" s="10">
        <v>1748359.82</v>
      </c>
    </row>
    <row r="327" spans="1:6" x14ac:dyDescent="0.25">
      <c r="A327">
        <v>2025</v>
      </c>
      <c r="B327">
        <v>2003100007</v>
      </c>
      <c r="C327" s="4" t="s">
        <v>95</v>
      </c>
      <c r="D327" s="4" t="s">
        <v>72</v>
      </c>
      <c r="E327" t="str">
        <f>_xlfn.XLOOKUP(tActuals_1[[#This Row],[Account]],'Account-Overview'!A:A,'Account-Overview'!B:B)</f>
        <v>Revenue (NL)</v>
      </c>
      <c r="F327" s="10">
        <v>1444158.71</v>
      </c>
    </row>
    <row r="328" spans="1:6" x14ac:dyDescent="0.25">
      <c r="A328">
        <v>2025</v>
      </c>
      <c r="B328">
        <v>2211200001</v>
      </c>
      <c r="C328" s="4" t="s">
        <v>90</v>
      </c>
      <c r="D328" s="4" t="s">
        <v>67</v>
      </c>
      <c r="E328" t="str">
        <f>_xlfn.XLOOKUP(tActuals_1[[#This Row],[Account]],'Account-Overview'!A:A,'Account-Overview'!B:B)</f>
        <v>COGS (DE)</v>
      </c>
      <c r="F328" s="10">
        <v>-9511517.2004292104</v>
      </c>
    </row>
    <row r="329" spans="1:6" x14ac:dyDescent="0.25">
      <c r="A329">
        <v>2025</v>
      </c>
      <c r="B329">
        <v>2211200001</v>
      </c>
      <c r="C329" s="4" t="s">
        <v>91</v>
      </c>
      <c r="D329" s="4" t="s">
        <v>68</v>
      </c>
      <c r="E329" t="str">
        <f>_xlfn.XLOOKUP(tActuals_1[[#This Row],[Account]],'Account-Overview'!A:A,'Account-Overview'!B:B)</f>
        <v>COGS (DE)</v>
      </c>
      <c r="F329" s="10">
        <v>-13135651.094679004</v>
      </c>
    </row>
    <row r="330" spans="1:6" x14ac:dyDescent="0.25">
      <c r="A330">
        <v>2025</v>
      </c>
      <c r="B330">
        <v>2211200001</v>
      </c>
      <c r="C330" s="4" t="s">
        <v>92</v>
      </c>
      <c r="D330" s="4" t="s">
        <v>69</v>
      </c>
      <c r="E330" t="str">
        <f>_xlfn.XLOOKUP(tActuals_1[[#This Row],[Account]],'Account-Overview'!A:A,'Account-Overview'!B:B)</f>
        <v>COGS (DE)</v>
      </c>
      <c r="F330" s="10">
        <v>-15677777.382166883</v>
      </c>
    </row>
    <row r="331" spans="1:6" x14ac:dyDescent="0.25">
      <c r="A331">
        <v>2025</v>
      </c>
      <c r="B331">
        <v>2211200001</v>
      </c>
      <c r="C331" s="4" t="s">
        <v>93</v>
      </c>
      <c r="D331" s="4" t="s">
        <v>70</v>
      </c>
      <c r="E331" t="str">
        <f>_xlfn.XLOOKUP(tActuals_1[[#This Row],[Account]],'Account-Overview'!A:A,'Account-Overview'!B:B)</f>
        <v>COGS (DE)</v>
      </c>
      <c r="F331" s="10">
        <v>-11529761.10350487</v>
      </c>
    </row>
    <row r="332" spans="1:6" x14ac:dyDescent="0.25">
      <c r="A332">
        <v>2025</v>
      </c>
      <c r="B332">
        <v>2211200001</v>
      </c>
      <c r="C332" s="4" t="s">
        <v>94</v>
      </c>
      <c r="D332" s="4" t="s">
        <v>71</v>
      </c>
      <c r="E332" t="str">
        <f>_xlfn.XLOOKUP(tActuals_1[[#This Row],[Account]],'Account-Overview'!A:A,'Account-Overview'!B:B)</f>
        <v>COGS (DE)</v>
      </c>
      <c r="F332" s="10">
        <v>-12207980.403199045</v>
      </c>
    </row>
    <row r="333" spans="1:6" x14ac:dyDescent="0.25">
      <c r="A333">
        <v>2025</v>
      </c>
      <c r="B333">
        <v>2211200001</v>
      </c>
      <c r="C333" s="4" t="s">
        <v>95</v>
      </c>
      <c r="D333" s="4" t="s">
        <v>72</v>
      </c>
      <c r="E333" t="str">
        <f>_xlfn.XLOOKUP(tActuals_1[[#This Row],[Account]],'Account-Overview'!A:A,'Account-Overview'!B:B)</f>
        <v>COGS (DE)</v>
      </c>
      <c r="F333" s="10">
        <v>-11216653.512991706</v>
      </c>
    </row>
    <row r="334" spans="1:6" x14ac:dyDescent="0.25">
      <c r="A334">
        <v>2025</v>
      </c>
      <c r="B334">
        <v>2211200002</v>
      </c>
      <c r="C334" s="4" t="s">
        <v>90</v>
      </c>
      <c r="D334" s="4" t="s">
        <v>67</v>
      </c>
      <c r="E334" t="str">
        <f>_xlfn.XLOOKUP(tActuals_1[[#This Row],[Account]],'Account-Overview'!A:A,'Account-Overview'!B:B)</f>
        <v>COGS (PL)</v>
      </c>
      <c r="F334" s="10">
        <v>-729894.78932666406</v>
      </c>
    </row>
    <row r="335" spans="1:6" x14ac:dyDescent="0.25">
      <c r="A335">
        <v>2025</v>
      </c>
      <c r="B335">
        <v>2211200002</v>
      </c>
      <c r="C335" s="4" t="s">
        <v>91</v>
      </c>
      <c r="D335" s="4" t="s">
        <v>68</v>
      </c>
      <c r="E335" t="str">
        <f>_xlfn.XLOOKUP(tActuals_1[[#This Row],[Account]],'Account-Overview'!A:A,'Account-Overview'!B:B)</f>
        <v>COGS (PL)</v>
      </c>
      <c r="F335" s="10">
        <v>-860147.62850186089</v>
      </c>
    </row>
    <row r="336" spans="1:6" x14ac:dyDescent="0.25">
      <c r="A336">
        <v>2025</v>
      </c>
      <c r="B336">
        <v>2211200002</v>
      </c>
      <c r="C336" s="4" t="s">
        <v>92</v>
      </c>
      <c r="D336" s="4" t="s">
        <v>69</v>
      </c>
      <c r="E336" t="str">
        <f>_xlfn.XLOOKUP(tActuals_1[[#This Row],[Account]],'Account-Overview'!A:A,'Account-Overview'!B:B)</f>
        <v>COGS (PL)</v>
      </c>
      <c r="F336" s="10">
        <v>-1085322.4078376205</v>
      </c>
    </row>
    <row r="337" spans="1:6" x14ac:dyDescent="0.25">
      <c r="A337">
        <v>2025</v>
      </c>
      <c r="B337">
        <v>2211200002</v>
      </c>
      <c r="C337" s="4" t="s">
        <v>93</v>
      </c>
      <c r="D337" s="4" t="s">
        <v>70</v>
      </c>
      <c r="E337" t="str">
        <f>_xlfn.XLOOKUP(tActuals_1[[#This Row],[Account]],'Account-Overview'!A:A,'Account-Overview'!B:B)</f>
        <v>COGS (PL)</v>
      </c>
      <c r="F337" s="10">
        <v>-790838.16351295868</v>
      </c>
    </row>
    <row r="338" spans="1:6" x14ac:dyDescent="0.25">
      <c r="A338">
        <v>2025</v>
      </c>
      <c r="B338">
        <v>2211200002</v>
      </c>
      <c r="C338" s="4" t="s">
        <v>94</v>
      </c>
      <c r="D338" s="4" t="s">
        <v>71</v>
      </c>
      <c r="E338" t="str">
        <f>_xlfn.XLOOKUP(tActuals_1[[#This Row],[Account]],'Account-Overview'!A:A,'Account-Overview'!B:B)</f>
        <v>COGS (PL)</v>
      </c>
      <c r="F338" s="10">
        <v>-806592.5920911869</v>
      </c>
    </row>
    <row r="339" spans="1:6" x14ac:dyDescent="0.25">
      <c r="A339">
        <v>2025</v>
      </c>
      <c r="B339">
        <v>2211200002</v>
      </c>
      <c r="C339" s="4" t="s">
        <v>95</v>
      </c>
      <c r="D339" s="4" t="s">
        <v>72</v>
      </c>
      <c r="E339" t="str">
        <f>_xlfn.XLOOKUP(tActuals_1[[#This Row],[Account]],'Account-Overview'!A:A,'Account-Overview'!B:B)</f>
        <v>COGS (PL)</v>
      </c>
      <c r="F339" s="10">
        <v>-734792.92918374401</v>
      </c>
    </row>
    <row r="340" spans="1:6" x14ac:dyDescent="0.25">
      <c r="A340">
        <v>2025</v>
      </c>
      <c r="B340">
        <v>2211200003</v>
      </c>
      <c r="C340" s="4" t="s">
        <v>90</v>
      </c>
      <c r="D340" s="4" t="s">
        <v>67</v>
      </c>
      <c r="E340" t="str">
        <f>_xlfn.XLOOKUP(tActuals_1[[#This Row],[Account]],'Account-Overview'!A:A,'Account-Overview'!B:B)</f>
        <v>COGS (NL)</v>
      </c>
      <c r="F340" s="10">
        <v>-927464.07947095949</v>
      </c>
    </row>
    <row r="341" spans="1:6" x14ac:dyDescent="0.25">
      <c r="A341">
        <v>2025</v>
      </c>
      <c r="B341">
        <v>2211200003</v>
      </c>
      <c r="C341" s="4" t="s">
        <v>91</v>
      </c>
      <c r="D341" s="4" t="s">
        <v>68</v>
      </c>
      <c r="E341" t="str">
        <f>_xlfn.XLOOKUP(tActuals_1[[#This Row],[Account]],'Account-Overview'!A:A,'Account-Overview'!B:B)</f>
        <v>COGS (NL)</v>
      </c>
      <c r="F341" s="10">
        <v>-705415.86234208697</v>
      </c>
    </row>
    <row r="342" spans="1:6" x14ac:dyDescent="0.25">
      <c r="A342">
        <v>2025</v>
      </c>
      <c r="B342">
        <v>2211200003</v>
      </c>
      <c r="C342" s="4" t="s">
        <v>92</v>
      </c>
      <c r="D342" s="4" t="s">
        <v>69</v>
      </c>
      <c r="E342" t="str">
        <f>_xlfn.XLOOKUP(tActuals_1[[#This Row],[Account]],'Account-Overview'!A:A,'Account-Overview'!B:B)</f>
        <v>COGS (NL)</v>
      </c>
      <c r="F342" s="10">
        <v>-844968.03555313603</v>
      </c>
    </row>
    <row r="343" spans="1:6" x14ac:dyDescent="0.25">
      <c r="A343">
        <v>2025</v>
      </c>
      <c r="B343">
        <v>2211200003</v>
      </c>
      <c r="C343" s="4" t="s">
        <v>93</v>
      </c>
      <c r="D343" s="4" t="s">
        <v>70</v>
      </c>
      <c r="E343" t="str">
        <f>_xlfn.XLOOKUP(tActuals_1[[#This Row],[Account]],'Account-Overview'!A:A,'Account-Overview'!B:B)</f>
        <v>COGS (NL)</v>
      </c>
      <c r="F343" s="10">
        <v>-951185.12176403822</v>
      </c>
    </row>
    <row r="344" spans="1:6" x14ac:dyDescent="0.25">
      <c r="A344">
        <v>2025</v>
      </c>
      <c r="B344">
        <v>2211200003</v>
      </c>
      <c r="C344" s="4" t="s">
        <v>94</v>
      </c>
      <c r="D344" s="4" t="s">
        <v>71</v>
      </c>
      <c r="E344" t="str">
        <f>_xlfn.XLOOKUP(tActuals_1[[#This Row],[Account]],'Account-Overview'!A:A,'Account-Overview'!B:B)</f>
        <v>COGS (NL)</v>
      </c>
      <c r="F344" s="10">
        <v>-1063118.2467180912</v>
      </c>
    </row>
    <row r="345" spans="1:6" x14ac:dyDescent="0.25">
      <c r="A345">
        <v>2025</v>
      </c>
      <c r="B345">
        <v>2211200003</v>
      </c>
      <c r="C345" s="4" t="s">
        <v>95</v>
      </c>
      <c r="D345" s="4" t="s">
        <v>72</v>
      </c>
      <c r="E345" t="str">
        <f>_xlfn.XLOOKUP(tActuals_1[[#This Row],[Account]],'Account-Overview'!A:A,'Account-Overview'!B:B)</f>
        <v>COGS (NL)</v>
      </c>
      <c r="F345" s="10">
        <v>-883462.24840680009</v>
      </c>
    </row>
    <row r="346" spans="1:6" x14ac:dyDescent="0.25">
      <c r="A346">
        <v>2025</v>
      </c>
      <c r="B346">
        <v>2201201000</v>
      </c>
      <c r="C346" s="4" t="s">
        <v>90</v>
      </c>
      <c r="D346" s="4" t="s">
        <v>67</v>
      </c>
      <c r="E346" t="str">
        <f>_xlfn.XLOOKUP(tActuals_1[[#This Row],[Account]],'Account-Overview'!A:A,'Account-Overview'!B:B)</f>
        <v>COGS (Others)</v>
      </c>
      <c r="F346" s="10">
        <v>-11611.850274976412</v>
      </c>
    </row>
    <row r="347" spans="1:6" x14ac:dyDescent="0.25">
      <c r="A347">
        <v>2025</v>
      </c>
      <c r="B347">
        <v>2201201000</v>
      </c>
      <c r="C347" s="4" t="s">
        <v>91</v>
      </c>
      <c r="D347" s="4" t="s">
        <v>68</v>
      </c>
      <c r="E347" t="str">
        <f>_xlfn.XLOOKUP(tActuals_1[[#This Row],[Account]],'Account-Overview'!A:A,'Account-Overview'!B:B)</f>
        <v>COGS (Others)</v>
      </c>
      <c r="F347" s="10">
        <v>-8922.8193539330478</v>
      </c>
    </row>
    <row r="348" spans="1:6" x14ac:dyDescent="0.25">
      <c r="A348">
        <v>2025</v>
      </c>
      <c r="B348">
        <v>2201201000</v>
      </c>
      <c r="C348" s="4" t="s">
        <v>92</v>
      </c>
      <c r="D348" s="4" t="s">
        <v>69</v>
      </c>
      <c r="E348" t="str">
        <f>_xlfn.XLOOKUP(tActuals_1[[#This Row],[Account]],'Account-Overview'!A:A,'Account-Overview'!B:B)</f>
        <v>COGS (Others)</v>
      </c>
      <c r="F348" s="10">
        <v>-10794.897760331902</v>
      </c>
    </row>
    <row r="349" spans="1:6" x14ac:dyDescent="0.25">
      <c r="A349">
        <v>2025</v>
      </c>
      <c r="B349">
        <v>2201201000</v>
      </c>
      <c r="C349" s="4" t="s">
        <v>93</v>
      </c>
      <c r="D349" s="4" t="s">
        <v>70</v>
      </c>
      <c r="E349" t="str">
        <f>_xlfn.XLOOKUP(tActuals_1[[#This Row],[Account]],'Account-Overview'!A:A,'Account-Overview'!B:B)</f>
        <v>COGS (Others)</v>
      </c>
      <c r="F349" s="10">
        <v>-12371.126846267103</v>
      </c>
    </row>
    <row r="350" spans="1:6" x14ac:dyDescent="0.25">
      <c r="A350">
        <v>2025</v>
      </c>
      <c r="B350">
        <v>2201201000</v>
      </c>
      <c r="C350" s="4" t="s">
        <v>94</v>
      </c>
      <c r="D350" s="4" t="s">
        <v>71</v>
      </c>
      <c r="E350" t="str">
        <f>_xlfn.XLOOKUP(tActuals_1[[#This Row],[Account]],'Account-Overview'!A:A,'Account-Overview'!B:B)</f>
        <v>COGS (Others)</v>
      </c>
      <c r="F350" s="10">
        <v>-13693.74107909236</v>
      </c>
    </row>
    <row r="351" spans="1:6" x14ac:dyDescent="0.25">
      <c r="A351">
        <v>2025</v>
      </c>
      <c r="B351">
        <v>2201201000</v>
      </c>
      <c r="C351" s="4" t="s">
        <v>95</v>
      </c>
      <c r="D351" s="4" t="s">
        <v>72</v>
      </c>
      <c r="E351" t="str">
        <f>_xlfn.XLOOKUP(tActuals_1[[#This Row],[Account]],'Account-Overview'!A:A,'Account-Overview'!B:B)</f>
        <v>COGS (Others)</v>
      </c>
      <c r="F351" s="10">
        <v>-11170.573158653138</v>
      </c>
    </row>
    <row r="352" spans="1:6" x14ac:dyDescent="0.25">
      <c r="A352">
        <v>2025</v>
      </c>
      <c r="B352">
        <v>2690200007</v>
      </c>
      <c r="C352" s="4" t="s">
        <v>90</v>
      </c>
      <c r="D352" s="4" t="s">
        <v>67</v>
      </c>
      <c r="E352" t="str">
        <f>_xlfn.XLOOKUP(tActuals_1[[#This Row],[Account]],'Account-Overview'!A:A,'Account-Overview'!B:B)</f>
        <v>Payment (PayPal)</v>
      </c>
      <c r="F352" s="10">
        <v>-329966.84307302831</v>
      </c>
    </row>
    <row r="353" spans="1:6" x14ac:dyDescent="0.25">
      <c r="A353">
        <v>2025</v>
      </c>
      <c r="B353">
        <v>2690200007</v>
      </c>
      <c r="C353" s="4" t="s">
        <v>91</v>
      </c>
      <c r="D353" s="4" t="s">
        <v>68</v>
      </c>
      <c r="E353" t="str">
        <f>_xlfn.XLOOKUP(tActuals_1[[#This Row],[Account]],'Account-Overview'!A:A,'Account-Overview'!B:B)</f>
        <v>Payment (PayPal)</v>
      </c>
      <c r="F353" s="10">
        <v>-444477.28743122064</v>
      </c>
    </row>
    <row r="354" spans="1:6" x14ac:dyDescent="0.25">
      <c r="A354">
        <v>2025</v>
      </c>
      <c r="B354">
        <v>2690200007</v>
      </c>
      <c r="C354" s="4" t="s">
        <v>92</v>
      </c>
      <c r="D354" s="4" t="s">
        <v>69</v>
      </c>
      <c r="E354" t="str">
        <f>_xlfn.XLOOKUP(tActuals_1[[#This Row],[Account]],'Account-Overview'!A:A,'Account-Overview'!B:B)</f>
        <v>Payment (PayPal)</v>
      </c>
      <c r="F354" s="10">
        <v>-530386.95979647711</v>
      </c>
    </row>
    <row r="355" spans="1:6" x14ac:dyDescent="0.25">
      <c r="A355">
        <v>2025</v>
      </c>
      <c r="B355">
        <v>2690200007</v>
      </c>
      <c r="C355" s="4" t="s">
        <v>93</v>
      </c>
      <c r="D355" s="4" t="s">
        <v>70</v>
      </c>
      <c r="E355" t="str">
        <f>_xlfn.XLOOKUP(tActuals_1[[#This Row],[Account]],'Account-Overview'!A:A,'Account-Overview'!B:B)</f>
        <v>Payment (PayPal)</v>
      </c>
      <c r="F355" s="10">
        <v>-380806.02657311741</v>
      </c>
    </row>
    <row r="356" spans="1:6" x14ac:dyDescent="0.25">
      <c r="A356">
        <v>2025</v>
      </c>
      <c r="B356">
        <v>2690200007</v>
      </c>
      <c r="C356" s="4" t="s">
        <v>94</v>
      </c>
      <c r="D356" s="4" t="s">
        <v>71</v>
      </c>
      <c r="E356" t="str">
        <f>_xlfn.XLOOKUP(tActuals_1[[#This Row],[Account]],'Account-Overview'!A:A,'Account-Overview'!B:B)</f>
        <v>Payment (PayPal)</v>
      </c>
      <c r="F356" s="10">
        <v>-409564.1491219647</v>
      </c>
    </row>
    <row r="357" spans="1:6" x14ac:dyDescent="0.25">
      <c r="A357">
        <v>2025</v>
      </c>
      <c r="B357">
        <v>2690200007</v>
      </c>
      <c r="C357" s="4" t="s">
        <v>95</v>
      </c>
      <c r="D357" s="4" t="s">
        <v>72</v>
      </c>
      <c r="E357" t="str">
        <f>_xlfn.XLOOKUP(tActuals_1[[#This Row],[Account]],'Account-Overview'!A:A,'Account-Overview'!B:B)</f>
        <v>Payment (PayPal)</v>
      </c>
      <c r="F357" s="10">
        <v>-367756.22248826141</v>
      </c>
    </row>
    <row r="358" spans="1:6" x14ac:dyDescent="0.25">
      <c r="A358">
        <v>2025</v>
      </c>
      <c r="B358">
        <v>2690200010</v>
      </c>
      <c r="C358" s="4" t="s">
        <v>90</v>
      </c>
      <c r="D358" s="4" t="s">
        <v>67</v>
      </c>
      <c r="E358" t="str">
        <f>_xlfn.XLOOKUP(tActuals_1[[#This Row],[Account]],'Account-Overview'!A:A,'Account-Overview'!B:B)</f>
        <v>Payment (Credit Card)</v>
      </c>
      <c r="F358" s="10">
        <v>-74250.497054608073</v>
      </c>
    </row>
    <row r="359" spans="1:6" x14ac:dyDescent="0.25">
      <c r="A359">
        <v>2025</v>
      </c>
      <c r="B359">
        <v>2690200010</v>
      </c>
      <c r="C359" s="4" t="s">
        <v>91</v>
      </c>
      <c r="D359" s="4" t="s">
        <v>68</v>
      </c>
      <c r="E359" t="str">
        <f>_xlfn.XLOOKUP(tActuals_1[[#This Row],[Account]],'Account-Overview'!A:A,'Account-Overview'!B:B)</f>
        <v>Payment (Credit Card)</v>
      </c>
      <c r="F359" s="10">
        <v>-90525.201571920741</v>
      </c>
    </row>
    <row r="360" spans="1:6" x14ac:dyDescent="0.25">
      <c r="A360">
        <v>2025</v>
      </c>
      <c r="B360">
        <v>2690200010</v>
      </c>
      <c r="C360" s="4" t="s">
        <v>92</v>
      </c>
      <c r="D360" s="4" t="s">
        <v>69</v>
      </c>
      <c r="E360" t="str">
        <f>_xlfn.XLOOKUP(tActuals_1[[#This Row],[Account]],'Account-Overview'!A:A,'Account-Overview'!B:B)</f>
        <v>Payment (Credit Card)</v>
      </c>
      <c r="F360" s="10">
        <v>-120810.01492454309</v>
      </c>
    </row>
    <row r="361" spans="1:6" x14ac:dyDescent="0.25">
      <c r="A361">
        <v>2025</v>
      </c>
      <c r="B361">
        <v>2690200010</v>
      </c>
      <c r="C361" s="4" t="s">
        <v>93</v>
      </c>
      <c r="D361" s="4" t="s">
        <v>70</v>
      </c>
      <c r="E361" t="str">
        <f>_xlfn.XLOOKUP(tActuals_1[[#This Row],[Account]],'Account-Overview'!A:A,'Account-Overview'!B:B)</f>
        <v>Payment (Credit Card)</v>
      </c>
      <c r="F361" s="10">
        <v>-111996.59830255566</v>
      </c>
    </row>
    <row r="362" spans="1:6" x14ac:dyDescent="0.25">
      <c r="A362">
        <v>2025</v>
      </c>
      <c r="B362">
        <v>2690200010</v>
      </c>
      <c r="C362" s="4" t="s">
        <v>94</v>
      </c>
      <c r="D362" s="4" t="s">
        <v>71</v>
      </c>
      <c r="E362" t="str">
        <f>_xlfn.XLOOKUP(tActuals_1[[#This Row],[Account]],'Account-Overview'!A:A,'Account-Overview'!B:B)</f>
        <v>Payment (Credit Card)</v>
      </c>
      <c r="F362" s="10">
        <v>-114779.62223885756</v>
      </c>
    </row>
    <row r="363" spans="1:6" x14ac:dyDescent="0.25">
      <c r="A363">
        <v>2025</v>
      </c>
      <c r="B363">
        <v>2690200010</v>
      </c>
      <c r="C363" s="4" t="s">
        <v>95</v>
      </c>
      <c r="D363" s="4" t="s">
        <v>72</v>
      </c>
      <c r="E363" t="str">
        <f>_xlfn.XLOOKUP(tActuals_1[[#This Row],[Account]],'Account-Overview'!A:A,'Account-Overview'!B:B)</f>
        <v>Payment (Credit Card)</v>
      </c>
      <c r="F363" s="10">
        <v>-104151.2659339878</v>
      </c>
    </row>
    <row r="364" spans="1:6" x14ac:dyDescent="0.25">
      <c r="A364">
        <v>2025</v>
      </c>
      <c r="B364">
        <v>2532300000</v>
      </c>
      <c r="C364" s="4" t="s">
        <v>90</v>
      </c>
      <c r="D364" s="4" t="s">
        <v>67</v>
      </c>
      <c r="E364" t="str">
        <f>_xlfn.XLOOKUP(tActuals_1[[#This Row],[Account]],'Account-Overview'!A:A,'Account-Overview'!B:B)</f>
        <v>Warehouse</v>
      </c>
      <c r="F364" s="10">
        <v>-1830023.9135537171</v>
      </c>
    </row>
    <row r="365" spans="1:6" x14ac:dyDescent="0.25">
      <c r="A365">
        <v>2025</v>
      </c>
      <c r="B365">
        <v>2532300000</v>
      </c>
      <c r="C365" s="4" t="s">
        <v>91</v>
      </c>
      <c r="D365" s="4" t="s">
        <v>68</v>
      </c>
      <c r="E365" t="str">
        <f>_xlfn.XLOOKUP(tActuals_1[[#This Row],[Account]],'Account-Overview'!A:A,'Account-Overview'!B:B)</f>
        <v>Warehouse</v>
      </c>
      <c r="F365" s="10">
        <v>-2405737.6774740806</v>
      </c>
    </row>
    <row r="366" spans="1:6" x14ac:dyDescent="0.25">
      <c r="A366">
        <v>2025</v>
      </c>
      <c r="B366">
        <v>2532300000</v>
      </c>
      <c r="C366" s="4" t="s">
        <v>92</v>
      </c>
      <c r="D366" s="4" t="s">
        <v>69</v>
      </c>
      <c r="E366" t="str">
        <f>_xlfn.XLOOKUP(tActuals_1[[#This Row],[Account]],'Account-Overview'!A:A,'Account-Overview'!B:B)</f>
        <v>Warehouse</v>
      </c>
      <c r="F366" s="10">
        <v>-2768479.8280276647</v>
      </c>
    </row>
    <row r="367" spans="1:6" x14ac:dyDescent="0.25">
      <c r="A367">
        <v>2025</v>
      </c>
      <c r="B367">
        <v>2532300000</v>
      </c>
      <c r="C367" s="4" t="s">
        <v>93</v>
      </c>
      <c r="D367" s="4" t="s">
        <v>70</v>
      </c>
      <c r="E367" t="str">
        <f>_xlfn.XLOOKUP(tActuals_1[[#This Row],[Account]],'Account-Overview'!A:A,'Account-Overview'!B:B)</f>
        <v>Warehouse</v>
      </c>
      <c r="F367" s="10">
        <v>-2084666.5777848272</v>
      </c>
    </row>
    <row r="368" spans="1:6" x14ac:dyDescent="0.25">
      <c r="A368">
        <v>2025</v>
      </c>
      <c r="B368">
        <v>2532300000</v>
      </c>
      <c r="C368" s="4" t="s">
        <v>94</v>
      </c>
      <c r="D368" s="4" t="s">
        <v>71</v>
      </c>
      <c r="E368" t="str">
        <f>_xlfn.XLOOKUP(tActuals_1[[#This Row],[Account]],'Account-Overview'!A:A,'Account-Overview'!B:B)</f>
        <v>Warehouse</v>
      </c>
      <c r="F368" s="10">
        <v>-2202174.6291354145</v>
      </c>
    </row>
    <row r="369" spans="1:6" x14ac:dyDescent="0.25">
      <c r="A369">
        <v>2025</v>
      </c>
      <c r="B369">
        <v>2532300000</v>
      </c>
      <c r="C369" s="4" t="s">
        <v>95</v>
      </c>
      <c r="D369" s="4" t="s">
        <v>72</v>
      </c>
      <c r="E369" t="str">
        <f>_xlfn.XLOOKUP(tActuals_1[[#This Row],[Account]],'Account-Overview'!A:A,'Account-Overview'!B:B)</f>
        <v>Warehouse</v>
      </c>
      <c r="F369" s="10">
        <v>-1982751.8174181338</v>
      </c>
    </row>
    <row r="370" spans="1:6" x14ac:dyDescent="0.25">
      <c r="A370">
        <v>2025</v>
      </c>
      <c r="B370">
        <v>2530200000</v>
      </c>
      <c r="C370" s="4" t="s">
        <v>90</v>
      </c>
      <c r="D370" s="4" t="s">
        <v>67</v>
      </c>
      <c r="E370" t="str">
        <f>_xlfn.XLOOKUP(tActuals_1[[#This Row],[Account]],'Account-Overview'!A:A,'Account-Overview'!B:B)</f>
        <v>Distribution (Different Carriers)</v>
      </c>
      <c r="F370" s="10">
        <v>-2778072.4982260326</v>
      </c>
    </row>
    <row r="371" spans="1:6" x14ac:dyDescent="0.25">
      <c r="A371">
        <v>2025</v>
      </c>
      <c r="B371">
        <v>2530200000</v>
      </c>
      <c r="C371" s="4" t="s">
        <v>91</v>
      </c>
      <c r="D371" s="4" t="s">
        <v>68</v>
      </c>
      <c r="E371" t="str">
        <f>_xlfn.XLOOKUP(tActuals_1[[#This Row],[Account]],'Account-Overview'!A:A,'Account-Overview'!B:B)</f>
        <v>Distribution (Different Carriers)</v>
      </c>
      <c r="F371" s="10">
        <v>-3677847.7712706476</v>
      </c>
    </row>
    <row r="372" spans="1:6" x14ac:dyDescent="0.25">
      <c r="A372">
        <v>2025</v>
      </c>
      <c r="B372">
        <v>2530200000</v>
      </c>
      <c r="C372" s="4" t="s">
        <v>92</v>
      </c>
      <c r="D372" s="4" t="s">
        <v>69</v>
      </c>
      <c r="E372" t="str">
        <f>_xlfn.XLOOKUP(tActuals_1[[#This Row],[Account]],'Account-Overview'!A:A,'Account-Overview'!B:B)</f>
        <v>Distribution (Different Carriers)</v>
      </c>
      <c r="F372" s="10">
        <v>-4284234.8750721337</v>
      </c>
    </row>
    <row r="373" spans="1:6" x14ac:dyDescent="0.25">
      <c r="A373">
        <v>2025</v>
      </c>
      <c r="B373">
        <v>2530200000</v>
      </c>
      <c r="C373" s="4" t="s">
        <v>93</v>
      </c>
      <c r="D373" s="4" t="s">
        <v>70</v>
      </c>
      <c r="E373" t="str">
        <f>_xlfn.XLOOKUP(tActuals_1[[#This Row],[Account]],'Account-Overview'!A:A,'Account-Overview'!B:B)</f>
        <v>Distribution (Different Carriers)</v>
      </c>
      <c r="F373" s="10">
        <v>-3178369.075623937</v>
      </c>
    </row>
    <row r="374" spans="1:6" x14ac:dyDescent="0.25">
      <c r="A374">
        <v>2025</v>
      </c>
      <c r="B374">
        <v>2530200000</v>
      </c>
      <c r="C374" s="4" t="s">
        <v>94</v>
      </c>
      <c r="D374" s="4" t="s">
        <v>71</v>
      </c>
      <c r="E374" t="str">
        <f>_xlfn.XLOOKUP(tActuals_1[[#This Row],[Account]],'Account-Overview'!A:A,'Account-Overview'!B:B)</f>
        <v>Distribution (Different Carriers)</v>
      </c>
      <c r="F374" s="10">
        <v>-3385070.5480162837</v>
      </c>
    </row>
    <row r="375" spans="1:6" x14ac:dyDescent="0.25">
      <c r="A375">
        <v>2025</v>
      </c>
      <c r="B375">
        <v>2530200000</v>
      </c>
      <c r="C375" s="4" t="s">
        <v>95</v>
      </c>
      <c r="D375" s="4" t="s">
        <v>72</v>
      </c>
      <c r="E375" t="str">
        <f>_xlfn.XLOOKUP(tActuals_1[[#This Row],[Account]],'Account-Overview'!A:A,'Account-Overview'!B:B)</f>
        <v>Distribution (Different Carriers)</v>
      </c>
      <c r="F375" s="10">
        <v>-3050680.7288258751</v>
      </c>
    </row>
    <row r="376" spans="1:6" x14ac:dyDescent="0.25">
      <c r="A376">
        <v>2025</v>
      </c>
      <c r="B376">
        <v>2530300000</v>
      </c>
      <c r="C376" s="4" t="s">
        <v>90</v>
      </c>
      <c r="D376" s="4" t="s">
        <v>67</v>
      </c>
      <c r="E376" t="str">
        <f>_xlfn.XLOOKUP(tActuals_1[[#This Row],[Account]],'Account-Overview'!A:A,'Account-Overview'!B:B)</f>
        <v>Distribution (Package Material)</v>
      </c>
      <c r="F376" s="10">
        <v>-156074.8880086717</v>
      </c>
    </row>
    <row r="377" spans="1:6" x14ac:dyDescent="0.25">
      <c r="A377">
        <v>2025</v>
      </c>
      <c r="B377">
        <v>2530300000</v>
      </c>
      <c r="C377" s="4" t="s">
        <v>91</v>
      </c>
      <c r="D377" s="4" t="s">
        <v>68</v>
      </c>
      <c r="E377" t="str">
        <f>_xlfn.XLOOKUP(tActuals_1[[#This Row],[Account]],'Account-Overview'!A:A,'Account-Overview'!B:B)</f>
        <v>Distribution (Package Material)</v>
      </c>
      <c r="F377" s="10">
        <v>-140392.53312412635</v>
      </c>
    </row>
    <row r="378" spans="1:6" x14ac:dyDescent="0.25">
      <c r="A378">
        <v>2025</v>
      </c>
      <c r="B378">
        <v>2530300000</v>
      </c>
      <c r="C378" s="4" t="s">
        <v>92</v>
      </c>
      <c r="D378" s="4" t="s">
        <v>69</v>
      </c>
      <c r="E378" t="str">
        <f>_xlfn.XLOOKUP(tActuals_1[[#This Row],[Account]],'Account-Overview'!A:A,'Account-Overview'!B:B)</f>
        <v>Distribution (Package Material)</v>
      </c>
      <c r="F378" s="10">
        <v>-180733.35611055975</v>
      </c>
    </row>
    <row r="379" spans="1:6" x14ac:dyDescent="0.25">
      <c r="A379">
        <v>2025</v>
      </c>
      <c r="B379">
        <v>2530300000</v>
      </c>
      <c r="C379" s="4" t="s">
        <v>93</v>
      </c>
      <c r="D379" s="4" t="s">
        <v>70</v>
      </c>
      <c r="E379" t="str">
        <f>_xlfn.XLOOKUP(tActuals_1[[#This Row],[Account]],'Account-Overview'!A:A,'Account-Overview'!B:B)</f>
        <v>Distribution (Package Material)</v>
      </c>
      <c r="F379" s="10">
        <v>-163355.03418914252</v>
      </c>
    </row>
    <row r="380" spans="1:6" x14ac:dyDescent="0.25">
      <c r="A380">
        <v>2025</v>
      </c>
      <c r="B380">
        <v>2530300000</v>
      </c>
      <c r="C380" s="4" t="s">
        <v>94</v>
      </c>
      <c r="D380" s="4" t="s">
        <v>71</v>
      </c>
      <c r="E380" t="str">
        <f>_xlfn.XLOOKUP(tActuals_1[[#This Row],[Account]],'Account-Overview'!A:A,'Account-Overview'!B:B)</f>
        <v>Distribution (Package Material)</v>
      </c>
      <c r="F380" s="10">
        <v>-185825.34447021439</v>
      </c>
    </row>
    <row r="381" spans="1:6" x14ac:dyDescent="0.25">
      <c r="A381">
        <v>2025</v>
      </c>
      <c r="B381">
        <v>2530300000</v>
      </c>
      <c r="C381" s="4" t="s">
        <v>95</v>
      </c>
      <c r="D381" s="4" t="s">
        <v>72</v>
      </c>
      <c r="E381" t="str">
        <f>_xlfn.XLOOKUP(tActuals_1[[#This Row],[Account]],'Account-Overview'!A:A,'Account-Overview'!B:B)</f>
        <v>Distribution (Package Material)</v>
      </c>
      <c r="F381" s="10">
        <v>-148540.53177824614</v>
      </c>
    </row>
    <row r="382" spans="1:6" x14ac:dyDescent="0.25">
      <c r="A382">
        <v>2025</v>
      </c>
      <c r="B382">
        <v>2400210100</v>
      </c>
      <c r="C382" s="4" t="s">
        <v>90</v>
      </c>
      <c r="D382" s="4" t="s">
        <v>67</v>
      </c>
      <c r="E382" t="str">
        <f>_xlfn.XLOOKUP(tActuals_1[[#This Row],[Account]],'Account-Overview'!A:A,'Account-Overview'!B:B)</f>
        <v>Labour (Salaries)</v>
      </c>
      <c r="F382" s="10">
        <v>-1542025.3909785931</v>
      </c>
    </row>
    <row r="383" spans="1:6" x14ac:dyDescent="0.25">
      <c r="A383">
        <v>2025</v>
      </c>
      <c r="B383">
        <v>2400210100</v>
      </c>
      <c r="C383" s="4" t="s">
        <v>91</v>
      </c>
      <c r="D383" s="4" t="s">
        <v>68</v>
      </c>
      <c r="E383" t="str">
        <f>_xlfn.XLOOKUP(tActuals_1[[#This Row],[Account]],'Account-Overview'!A:A,'Account-Overview'!B:B)</f>
        <v>Labour (Salaries)</v>
      </c>
      <c r="F383" s="10">
        <v>-1561231.0370585187</v>
      </c>
    </row>
    <row r="384" spans="1:6" x14ac:dyDescent="0.25">
      <c r="A384">
        <v>2025</v>
      </c>
      <c r="B384">
        <v>2400210100</v>
      </c>
      <c r="C384" s="4" t="s">
        <v>92</v>
      </c>
      <c r="D384" s="4" t="s">
        <v>69</v>
      </c>
      <c r="E384" t="str">
        <f>_xlfn.XLOOKUP(tActuals_1[[#This Row],[Account]],'Account-Overview'!A:A,'Account-Overview'!B:B)</f>
        <v>Labour (Salaries)</v>
      </c>
      <c r="F384" s="10">
        <v>-1543421.3917061251</v>
      </c>
    </row>
    <row r="385" spans="1:6" x14ac:dyDescent="0.25">
      <c r="A385">
        <v>2025</v>
      </c>
      <c r="B385">
        <v>2400210100</v>
      </c>
      <c r="C385" s="4" t="s">
        <v>93</v>
      </c>
      <c r="D385" s="4" t="s">
        <v>70</v>
      </c>
      <c r="E385" t="str">
        <f>_xlfn.XLOOKUP(tActuals_1[[#This Row],[Account]],'Account-Overview'!A:A,'Account-Overview'!B:B)</f>
        <v>Labour (Salaries)</v>
      </c>
      <c r="F385" s="10">
        <v>-1559364.2245044285</v>
      </c>
    </row>
    <row r="386" spans="1:6" x14ac:dyDescent="0.25">
      <c r="A386">
        <v>2025</v>
      </c>
      <c r="B386">
        <v>2400210100</v>
      </c>
      <c r="C386" s="4" t="s">
        <v>94</v>
      </c>
      <c r="D386" s="4" t="s">
        <v>71</v>
      </c>
      <c r="E386" t="str">
        <f>_xlfn.XLOOKUP(tActuals_1[[#This Row],[Account]],'Account-Overview'!A:A,'Account-Overview'!B:B)</f>
        <v>Labour (Salaries)</v>
      </c>
      <c r="F386" s="10">
        <v>-1549069.9559610896</v>
      </c>
    </row>
    <row r="387" spans="1:6" x14ac:dyDescent="0.25">
      <c r="A387">
        <v>2025</v>
      </c>
      <c r="B387">
        <v>2400210100</v>
      </c>
      <c r="C387" s="4" t="s">
        <v>95</v>
      </c>
      <c r="D387" s="4" t="s">
        <v>72</v>
      </c>
      <c r="E387" t="str">
        <f>_xlfn.XLOOKUP(tActuals_1[[#This Row],[Account]],'Account-Overview'!A:A,'Account-Overview'!B:B)</f>
        <v>Labour (Salaries)</v>
      </c>
      <c r="F387" s="10">
        <v>-1552312.410868014</v>
      </c>
    </row>
    <row r="388" spans="1:6" x14ac:dyDescent="0.25">
      <c r="A388">
        <v>2025</v>
      </c>
      <c r="B388">
        <v>2400210200</v>
      </c>
      <c r="C388" s="4" t="s">
        <v>90</v>
      </c>
      <c r="D388" s="4" t="s">
        <v>67</v>
      </c>
      <c r="E388" t="str">
        <f>_xlfn.XLOOKUP(tActuals_1[[#This Row],[Account]],'Account-Overview'!A:A,'Account-Overview'!B:B)</f>
        <v>Labour (Bonuses)</v>
      </c>
      <c r="F388" s="10">
        <v>-415.55055742033682</v>
      </c>
    </row>
    <row r="389" spans="1:6" x14ac:dyDescent="0.25">
      <c r="A389">
        <v>2025</v>
      </c>
      <c r="B389">
        <v>2400210200</v>
      </c>
      <c r="C389" s="4" t="s">
        <v>91</v>
      </c>
      <c r="D389" s="4" t="s">
        <v>68</v>
      </c>
      <c r="E389" t="str">
        <f>_xlfn.XLOOKUP(tActuals_1[[#This Row],[Account]],'Account-Overview'!A:A,'Account-Overview'!B:B)</f>
        <v>Labour (Bonuses)</v>
      </c>
      <c r="F389" s="10">
        <v>-434.61418857232928</v>
      </c>
    </row>
    <row r="390" spans="1:6" x14ac:dyDescent="0.25">
      <c r="A390">
        <v>2025</v>
      </c>
      <c r="B390">
        <v>2400210200</v>
      </c>
      <c r="C390" s="4" t="s">
        <v>92</v>
      </c>
      <c r="D390" s="4" t="s">
        <v>69</v>
      </c>
      <c r="E390" t="str">
        <f>_xlfn.XLOOKUP(tActuals_1[[#This Row],[Account]],'Account-Overview'!A:A,'Account-Overview'!B:B)</f>
        <v>Labour (Bonuses)</v>
      </c>
      <c r="F390" s="10">
        <v>-20457.160535096336</v>
      </c>
    </row>
    <row r="391" spans="1:6" x14ac:dyDescent="0.25">
      <c r="A391">
        <v>2025</v>
      </c>
      <c r="B391">
        <v>2400210200</v>
      </c>
      <c r="C391" s="4" t="s">
        <v>93</v>
      </c>
      <c r="D391" s="4" t="s">
        <v>70</v>
      </c>
      <c r="E391" t="str">
        <f>_xlfn.XLOOKUP(tActuals_1[[#This Row],[Account]],'Account-Overview'!A:A,'Account-Overview'!B:B)</f>
        <v>Labour (Bonuses)</v>
      </c>
      <c r="F391" s="10">
        <v>-769.53963193034656</v>
      </c>
    </row>
    <row r="392" spans="1:6" x14ac:dyDescent="0.25">
      <c r="A392">
        <v>2025</v>
      </c>
      <c r="B392">
        <v>2400210200</v>
      </c>
      <c r="C392" s="4" t="s">
        <v>94</v>
      </c>
      <c r="D392" s="4" t="s">
        <v>71</v>
      </c>
      <c r="E392" t="str">
        <f>_xlfn.XLOOKUP(tActuals_1[[#This Row],[Account]],'Account-Overview'!A:A,'Account-Overview'!B:B)</f>
        <v>Labour (Bonuses)</v>
      </c>
      <c r="F392" s="10">
        <v>-580.92697704545765</v>
      </c>
    </row>
    <row r="393" spans="1:6" x14ac:dyDescent="0.25">
      <c r="A393">
        <v>2025</v>
      </c>
      <c r="B393">
        <v>2400210200</v>
      </c>
      <c r="C393" s="4" t="s">
        <v>95</v>
      </c>
      <c r="D393" s="4" t="s">
        <v>72</v>
      </c>
      <c r="E393" t="str">
        <f>_xlfn.XLOOKUP(tActuals_1[[#This Row],[Account]],'Account-Overview'!A:A,'Account-Overview'!B:B)</f>
        <v>Labour (Bonuses)</v>
      </c>
      <c r="F393" s="10">
        <v>-8439.6192744227756</v>
      </c>
    </row>
    <row r="394" spans="1:6" x14ac:dyDescent="0.25">
      <c r="A394">
        <v>2025</v>
      </c>
      <c r="B394">
        <v>2400210120</v>
      </c>
      <c r="C394" s="4" t="s">
        <v>90</v>
      </c>
      <c r="D394" s="4" t="s">
        <v>67</v>
      </c>
      <c r="E394" t="str">
        <f>_xlfn.XLOOKUP(tActuals_1[[#This Row],[Account]],'Account-Overview'!A:A,'Account-Overview'!B:B)</f>
        <v>Labour (Social Contributions)</v>
      </c>
      <c r="F394" s="10">
        <v>-31278.816368824017</v>
      </c>
    </row>
    <row r="395" spans="1:6" x14ac:dyDescent="0.25">
      <c r="A395">
        <v>2025</v>
      </c>
      <c r="B395">
        <v>2400210120</v>
      </c>
      <c r="C395" s="4" t="s">
        <v>91</v>
      </c>
      <c r="D395" s="4" t="s">
        <v>68</v>
      </c>
      <c r="E395" t="str">
        <f>_xlfn.XLOOKUP(tActuals_1[[#This Row],[Account]],'Account-Overview'!A:A,'Account-Overview'!B:B)</f>
        <v>Labour (Social Contributions)</v>
      </c>
      <c r="F395" s="10">
        <v>-31668.388343768856</v>
      </c>
    </row>
    <row r="396" spans="1:6" x14ac:dyDescent="0.25">
      <c r="A396">
        <v>2025</v>
      </c>
      <c r="B396">
        <v>2400210120</v>
      </c>
      <c r="C396" s="4" t="s">
        <v>92</v>
      </c>
      <c r="D396" s="4" t="s">
        <v>69</v>
      </c>
      <c r="E396" t="str">
        <f>_xlfn.XLOOKUP(tActuals_1[[#This Row],[Account]],'Account-Overview'!A:A,'Account-Overview'!B:B)</f>
        <v>Labour (Social Contributions)</v>
      </c>
      <c r="F396" s="10">
        <v>-31307.133185565603</v>
      </c>
    </row>
    <row r="397" spans="1:6" x14ac:dyDescent="0.25">
      <c r="A397">
        <v>2025</v>
      </c>
      <c r="B397">
        <v>2400210120</v>
      </c>
      <c r="C397" s="4" t="s">
        <v>93</v>
      </c>
      <c r="D397" s="4" t="s">
        <v>70</v>
      </c>
      <c r="E397" t="str">
        <f>_xlfn.XLOOKUP(tActuals_1[[#This Row],[Account]],'Account-Overview'!A:A,'Account-Overview'!B:B)</f>
        <v>Labour (Social Contributions)</v>
      </c>
      <c r="F397" s="10">
        <v>-31630.52146594958</v>
      </c>
    </row>
    <row r="398" spans="1:6" x14ac:dyDescent="0.25">
      <c r="A398">
        <v>2025</v>
      </c>
      <c r="B398">
        <v>2400210120</v>
      </c>
      <c r="C398" s="4" t="s">
        <v>94</v>
      </c>
      <c r="D398" s="4" t="s">
        <v>71</v>
      </c>
      <c r="E398" t="str">
        <f>_xlfn.XLOOKUP(tActuals_1[[#This Row],[Account]],'Account-Overview'!A:A,'Account-Overview'!B:B)</f>
        <v>Labour (Social Contributions)</v>
      </c>
      <c r="F398" s="10">
        <v>-31421.710030481503</v>
      </c>
    </row>
    <row r="399" spans="1:6" x14ac:dyDescent="0.25">
      <c r="A399">
        <v>2025</v>
      </c>
      <c r="B399">
        <v>2400210120</v>
      </c>
      <c r="C399" s="4" t="s">
        <v>95</v>
      </c>
      <c r="D399" s="4" t="s">
        <v>72</v>
      </c>
      <c r="E399" t="str">
        <f>_xlfn.XLOOKUP(tActuals_1[[#This Row],[Account]],'Account-Overview'!A:A,'Account-Overview'!B:B)</f>
        <v>Labour (Social Contributions)</v>
      </c>
      <c r="F399" s="10">
        <v>-31487.480770841059</v>
      </c>
    </row>
    <row r="400" spans="1:6" x14ac:dyDescent="0.25">
      <c r="A400">
        <v>2025</v>
      </c>
      <c r="B400">
        <v>2546100100</v>
      </c>
      <c r="C400" s="4" t="s">
        <v>90</v>
      </c>
      <c r="D400" s="4" t="s">
        <v>67</v>
      </c>
      <c r="E400" t="str">
        <f>_xlfn.XLOOKUP(tActuals_1[[#This Row],[Account]],'Account-Overview'!A:A,'Account-Overview'!B:B)</f>
        <v>Marketing (Google)</v>
      </c>
      <c r="F400" s="10">
        <v>-359256.31929000001</v>
      </c>
    </row>
    <row r="401" spans="1:6" x14ac:dyDescent="0.25">
      <c r="A401">
        <v>2025</v>
      </c>
      <c r="B401">
        <v>2546100100</v>
      </c>
      <c r="C401" s="4" t="s">
        <v>91</v>
      </c>
      <c r="D401" s="4" t="s">
        <v>68</v>
      </c>
      <c r="E401" t="str">
        <f>_xlfn.XLOOKUP(tActuals_1[[#This Row],[Account]],'Account-Overview'!A:A,'Account-Overview'!B:B)</f>
        <v>Marketing (Google)</v>
      </c>
      <c r="F401" s="10">
        <v>-369330.92676575581</v>
      </c>
    </row>
    <row r="402" spans="1:6" x14ac:dyDescent="0.25">
      <c r="A402">
        <v>2025</v>
      </c>
      <c r="B402">
        <v>2546100100</v>
      </c>
      <c r="C402" s="4" t="s">
        <v>92</v>
      </c>
      <c r="D402" s="4" t="s">
        <v>69</v>
      </c>
      <c r="E402" t="str">
        <f>_xlfn.XLOOKUP(tActuals_1[[#This Row],[Account]],'Account-Overview'!A:A,'Account-Overview'!B:B)</f>
        <v>Marketing (Google)</v>
      </c>
      <c r="F402" s="10">
        <v>-425180.18966605875</v>
      </c>
    </row>
    <row r="403" spans="1:6" x14ac:dyDescent="0.25">
      <c r="A403">
        <v>2025</v>
      </c>
      <c r="B403">
        <v>2546100100</v>
      </c>
      <c r="C403" s="4" t="s">
        <v>93</v>
      </c>
      <c r="D403" s="4" t="s">
        <v>70</v>
      </c>
      <c r="E403" t="str">
        <f>_xlfn.XLOOKUP(tActuals_1[[#This Row],[Account]],'Account-Overview'!A:A,'Account-Overview'!B:B)</f>
        <v>Marketing (Google)</v>
      </c>
      <c r="F403" s="10">
        <v>-358492.33783221879</v>
      </c>
    </row>
    <row r="404" spans="1:6" x14ac:dyDescent="0.25">
      <c r="A404">
        <v>2025</v>
      </c>
      <c r="B404">
        <v>2546100100</v>
      </c>
      <c r="C404" s="4" t="s">
        <v>94</v>
      </c>
      <c r="D404" s="4" t="s">
        <v>71</v>
      </c>
      <c r="E404" t="str">
        <f>_xlfn.XLOOKUP(tActuals_1[[#This Row],[Account]],'Account-Overview'!A:A,'Account-Overview'!B:B)</f>
        <v>Marketing (Google)</v>
      </c>
      <c r="F404" s="10">
        <v>-303859.33126635099</v>
      </c>
    </row>
    <row r="405" spans="1:6" x14ac:dyDescent="0.25">
      <c r="A405">
        <v>2025</v>
      </c>
      <c r="B405">
        <v>2546100100</v>
      </c>
      <c r="C405" s="4" t="s">
        <v>95</v>
      </c>
      <c r="D405" s="4" t="s">
        <v>72</v>
      </c>
      <c r="E405" t="str">
        <f>_xlfn.XLOOKUP(tActuals_1[[#This Row],[Account]],'Account-Overview'!A:A,'Account-Overview'!B:B)</f>
        <v>Marketing (Google)</v>
      </c>
      <c r="F405" s="10">
        <v>-286833.30015779997</v>
      </c>
    </row>
    <row r="406" spans="1:6" x14ac:dyDescent="0.25">
      <c r="A406">
        <v>2025</v>
      </c>
      <c r="B406">
        <v>2544601400</v>
      </c>
      <c r="C406" s="4" t="s">
        <v>90</v>
      </c>
      <c r="D406" s="4" t="s">
        <v>67</v>
      </c>
      <c r="E406" t="str">
        <f>_xlfn.XLOOKUP(tActuals_1[[#This Row],[Account]],'Account-Overview'!A:A,'Account-Overview'!B:B)</f>
        <v>Marketing (Meta)</v>
      </c>
      <c r="F406" s="10">
        <v>-120743.03726100002</v>
      </c>
    </row>
    <row r="407" spans="1:6" x14ac:dyDescent="0.25">
      <c r="A407">
        <v>2025</v>
      </c>
      <c r="B407">
        <v>2544601400</v>
      </c>
      <c r="C407" s="4" t="s">
        <v>91</v>
      </c>
      <c r="D407" s="4" t="s">
        <v>68</v>
      </c>
      <c r="E407" t="str">
        <f>_xlfn.XLOOKUP(tActuals_1[[#This Row],[Account]],'Account-Overview'!A:A,'Account-Overview'!B:B)</f>
        <v>Marketing (Meta)</v>
      </c>
      <c r="F407" s="10">
        <v>-128562.52376125654</v>
      </c>
    </row>
    <row r="408" spans="1:6" x14ac:dyDescent="0.25">
      <c r="A408">
        <v>2025</v>
      </c>
      <c r="B408">
        <v>2544601400</v>
      </c>
      <c r="C408" s="4" t="s">
        <v>92</v>
      </c>
      <c r="D408" s="4" t="s">
        <v>69</v>
      </c>
      <c r="E408" t="str">
        <f>_xlfn.XLOOKUP(tActuals_1[[#This Row],[Account]],'Account-Overview'!A:A,'Account-Overview'!B:B)</f>
        <v>Marketing (Meta)</v>
      </c>
      <c r="F408" s="10">
        <v>-132254.70154772289</v>
      </c>
    </row>
    <row r="409" spans="1:6" x14ac:dyDescent="0.25">
      <c r="A409">
        <v>2025</v>
      </c>
      <c r="B409">
        <v>2544601400</v>
      </c>
      <c r="C409" s="4" t="s">
        <v>93</v>
      </c>
      <c r="D409" s="4" t="s">
        <v>70</v>
      </c>
      <c r="E409" t="str">
        <f>_xlfn.XLOOKUP(tActuals_1[[#This Row],[Account]],'Account-Overview'!A:A,'Account-Overview'!B:B)</f>
        <v>Marketing (Meta)</v>
      </c>
      <c r="F409" s="10">
        <v>-131225.52788252197</v>
      </c>
    </row>
    <row r="410" spans="1:6" x14ac:dyDescent="0.25">
      <c r="A410">
        <v>2025</v>
      </c>
      <c r="B410">
        <v>2544601400</v>
      </c>
      <c r="C410" s="4" t="s">
        <v>94</v>
      </c>
      <c r="D410" s="4" t="s">
        <v>71</v>
      </c>
      <c r="E410" t="str">
        <f>_xlfn.XLOOKUP(tActuals_1[[#This Row],[Account]],'Account-Overview'!A:A,'Account-Overview'!B:B)</f>
        <v>Marketing (Meta)</v>
      </c>
      <c r="F410" s="10">
        <v>-113819.14772511229</v>
      </c>
    </row>
    <row r="411" spans="1:6" x14ac:dyDescent="0.25">
      <c r="A411">
        <v>2025</v>
      </c>
      <c r="B411">
        <v>2544601400</v>
      </c>
      <c r="C411" s="4" t="s">
        <v>95</v>
      </c>
      <c r="D411" s="4" t="s">
        <v>72</v>
      </c>
      <c r="E411" t="str">
        <f>_xlfn.XLOOKUP(tActuals_1[[#This Row],[Account]],'Account-Overview'!A:A,'Account-Overview'!B:B)</f>
        <v>Marketing (Meta)</v>
      </c>
      <c r="F411" s="10">
        <v>-108185.12812800003</v>
      </c>
    </row>
    <row r="412" spans="1:6" x14ac:dyDescent="0.25">
      <c r="A412">
        <v>2025</v>
      </c>
      <c r="B412">
        <v>2544600140</v>
      </c>
      <c r="C412" s="4" t="s">
        <v>90</v>
      </c>
      <c r="D412" s="4" t="s">
        <v>67</v>
      </c>
      <c r="E412" t="str">
        <f>_xlfn.XLOOKUP(tActuals_1[[#This Row],[Account]],'Account-Overview'!A:A,'Account-Overview'!B:B)</f>
        <v>Marketing (Flyers)</v>
      </c>
      <c r="F412" s="10">
        <v>-77803.449273000006</v>
      </c>
    </row>
    <row r="413" spans="1:6" x14ac:dyDescent="0.25">
      <c r="A413">
        <v>2025</v>
      </c>
      <c r="B413">
        <v>2544600140</v>
      </c>
      <c r="C413" s="4" t="s">
        <v>91</v>
      </c>
      <c r="D413" s="4" t="s">
        <v>68</v>
      </c>
      <c r="E413" t="str">
        <f>_xlfn.XLOOKUP(tActuals_1[[#This Row],[Account]],'Account-Overview'!A:A,'Account-Overview'!B:B)</f>
        <v>Marketing (Flyers)</v>
      </c>
      <c r="F413" s="10">
        <v>-90917.016300000018</v>
      </c>
    </row>
    <row r="414" spans="1:6" x14ac:dyDescent="0.25">
      <c r="A414">
        <v>2025</v>
      </c>
      <c r="B414">
        <v>2544600140</v>
      </c>
      <c r="C414" s="4" t="s">
        <v>92</v>
      </c>
      <c r="D414" s="4" t="s">
        <v>69</v>
      </c>
      <c r="E414" t="str">
        <f>_xlfn.XLOOKUP(tActuals_1[[#This Row],[Account]],'Account-Overview'!A:A,'Account-Overview'!B:B)</f>
        <v>Marketing (Flyers)</v>
      </c>
      <c r="F414" s="10">
        <v>-108164.70699812661</v>
      </c>
    </row>
    <row r="415" spans="1:6" x14ac:dyDescent="0.25">
      <c r="A415">
        <v>2025</v>
      </c>
      <c r="B415">
        <v>2544600140</v>
      </c>
      <c r="C415" s="4" t="s">
        <v>93</v>
      </c>
      <c r="D415" s="4" t="s">
        <v>70</v>
      </c>
      <c r="E415" t="str">
        <f>_xlfn.XLOOKUP(tActuals_1[[#This Row],[Account]],'Account-Overview'!A:A,'Account-Overview'!B:B)</f>
        <v>Marketing (Flyers)</v>
      </c>
      <c r="F415" s="10">
        <v>-142914.88007725426</v>
      </c>
    </row>
    <row r="416" spans="1:6" x14ac:dyDescent="0.25">
      <c r="A416">
        <v>2025</v>
      </c>
      <c r="B416">
        <v>2544600140</v>
      </c>
      <c r="C416" s="4" t="s">
        <v>94</v>
      </c>
      <c r="D416" s="4" t="s">
        <v>71</v>
      </c>
      <c r="E416" t="str">
        <f>_xlfn.XLOOKUP(tActuals_1[[#This Row],[Account]],'Account-Overview'!A:A,'Account-Overview'!B:B)</f>
        <v>Marketing (Flyers)</v>
      </c>
      <c r="F416" s="10">
        <v>-133451.56798714478</v>
      </c>
    </row>
    <row r="417" spans="1:6" x14ac:dyDescent="0.25">
      <c r="A417">
        <v>2025</v>
      </c>
      <c r="B417">
        <v>2544600140</v>
      </c>
      <c r="C417" s="4" t="s">
        <v>95</v>
      </c>
      <c r="D417" s="4" t="s">
        <v>72</v>
      </c>
      <c r="E417" t="str">
        <f>_xlfn.XLOOKUP(tActuals_1[[#This Row],[Account]],'Account-Overview'!A:A,'Account-Overview'!B:B)</f>
        <v>Marketing (Flyers)</v>
      </c>
      <c r="F417" s="10">
        <v>-144759.45764610005</v>
      </c>
    </row>
    <row r="418" spans="1:6" x14ac:dyDescent="0.25">
      <c r="A418">
        <v>2025</v>
      </c>
      <c r="B418">
        <v>2544600120</v>
      </c>
      <c r="C418" s="4" t="s">
        <v>90</v>
      </c>
      <c r="D418" s="4" t="s">
        <v>67</v>
      </c>
      <c r="E418" t="str">
        <f>_xlfn.XLOOKUP(tActuals_1[[#This Row],[Account]],'Account-Overview'!A:A,'Account-Overview'!B:B)</f>
        <v>Marketing (TV)</v>
      </c>
      <c r="F418" s="10">
        <v>-12718.715229000001</v>
      </c>
    </row>
    <row r="419" spans="1:6" x14ac:dyDescent="0.25">
      <c r="A419">
        <v>2025</v>
      </c>
      <c r="B419">
        <v>2544600120</v>
      </c>
      <c r="C419" s="4" t="s">
        <v>91</v>
      </c>
      <c r="D419" s="4" t="s">
        <v>68</v>
      </c>
      <c r="E419" t="str">
        <f>_xlfn.XLOOKUP(tActuals_1[[#This Row],[Account]],'Account-Overview'!A:A,'Account-Overview'!B:B)</f>
        <v>Marketing (TV)</v>
      </c>
      <c r="F419" s="10">
        <v>-13651.578459708369</v>
      </c>
    </row>
    <row r="420" spans="1:6" x14ac:dyDescent="0.25">
      <c r="A420">
        <v>2025</v>
      </c>
      <c r="B420">
        <v>2544600120</v>
      </c>
      <c r="C420" s="4" t="s">
        <v>92</v>
      </c>
      <c r="D420" s="4" t="s">
        <v>69</v>
      </c>
      <c r="E420" t="str">
        <f>_xlfn.XLOOKUP(tActuals_1[[#This Row],[Account]],'Account-Overview'!A:A,'Account-Overview'!B:B)</f>
        <v>Marketing (TV)</v>
      </c>
      <c r="F420" s="10">
        <v>-16336.879192012504</v>
      </c>
    </row>
    <row r="421" spans="1:6" x14ac:dyDescent="0.25">
      <c r="A421">
        <v>2025</v>
      </c>
      <c r="B421">
        <v>2544600120</v>
      </c>
      <c r="C421" s="4" t="s">
        <v>93</v>
      </c>
      <c r="D421" s="4" t="s">
        <v>70</v>
      </c>
      <c r="E421" t="str">
        <f>_xlfn.XLOOKUP(tActuals_1[[#This Row],[Account]],'Account-Overview'!A:A,'Account-Overview'!B:B)</f>
        <v>Marketing (TV)</v>
      </c>
      <c r="F421" s="10">
        <v>-15475.386891739785</v>
      </c>
    </row>
    <row r="422" spans="1:6" x14ac:dyDescent="0.25">
      <c r="A422">
        <v>2025</v>
      </c>
      <c r="B422">
        <v>2544600120</v>
      </c>
      <c r="C422" s="4" t="s">
        <v>94</v>
      </c>
      <c r="D422" s="4" t="s">
        <v>71</v>
      </c>
      <c r="E422" t="str">
        <f>_xlfn.XLOOKUP(tActuals_1[[#This Row],[Account]],'Account-Overview'!A:A,'Account-Overview'!B:B)</f>
        <v>Marketing (TV)</v>
      </c>
      <c r="F422" s="10">
        <v>-11421.3553828605</v>
      </c>
    </row>
    <row r="423" spans="1:6" x14ac:dyDescent="0.25">
      <c r="A423">
        <v>2025</v>
      </c>
      <c r="B423">
        <v>2544600120</v>
      </c>
      <c r="C423" s="4" t="s">
        <v>95</v>
      </c>
      <c r="D423" s="4" t="s">
        <v>72</v>
      </c>
      <c r="E423" t="str">
        <f>_xlfn.XLOOKUP(tActuals_1[[#This Row],[Account]],'Account-Overview'!A:A,'Account-Overview'!B:B)</f>
        <v>Marketing (TV)</v>
      </c>
      <c r="F423" s="10">
        <v>-12351.666690000002</v>
      </c>
    </row>
    <row r="424" spans="1:6" x14ac:dyDescent="0.25">
      <c r="A424">
        <v>2025</v>
      </c>
      <c r="B424">
        <v>2544600170</v>
      </c>
      <c r="C424" s="4" t="s">
        <v>90</v>
      </c>
      <c r="D424" s="4" t="s">
        <v>67</v>
      </c>
      <c r="E424" t="str">
        <f>_xlfn.XLOOKUP(tActuals_1[[#This Row],[Account]],'Account-Overview'!A:A,'Account-Overview'!B:B)</f>
        <v>Marketing (Print)</v>
      </c>
      <c r="F424" s="10">
        <v>-2632.9842000000003</v>
      </c>
    </row>
    <row r="425" spans="1:6" x14ac:dyDescent="0.25">
      <c r="A425">
        <v>2025</v>
      </c>
      <c r="B425">
        <v>2544600170</v>
      </c>
      <c r="C425" s="4" t="s">
        <v>91</v>
      </c>
      <c r="D425" s="4" t="s">
        <v>68</v>
      </c>
      <c r="E425" t="str">
        <f>_xlfn.XLOOKUP(tActuals_1[[#This Row],[Account]],'Account-Overview'!A:A,'Account-Overview'!B:B)</f>
        <v>Marketing (Print)</v>
      </c>
      <c r="F425" s="10">
        <v>-2560.9757513725699</v>
      </c>
    </row>
    <row r="426" spans="1:6" x14ac:dyDescent="0.25">
      <c r="A426">
        <v>2025</v>
      </c>
      <c r="B426">
        <v>2544600170</v>
      </c>
      <c r="C426" s="4" t="s">
        <v>92</v>
      </c>
      <c r="D426" s="4" t="s">
        <v>69</v>
      </c>
      <c r="E426" t="str">
        <f>_xlfn.XLOOKUP(tActuals_1[[#This Row],[Account]],'Account-Overview'!A:A,'Account-Overview'!B:B)</f>
        <v>Marketing (Print)</v>
      </c>
      <c r="F426" s="10">
        <v>-2620.5616775250001</v>
      </c>
    </row>
    <row r="427" spans="1:6" x14ac:dyDescent="0.25">
      <c r="A427">
        <v>2025</v>
      </c>
      <c r="B427">
        <v>2544600170</v>
      </c>
      <c r="C427" s="4" t="s">
        <v>93</v>
      </c>
      <c r="D427" s="4" t="s">
        <v>70</v>
      </c>
      <c r="E427" t="str">
        <f>_xlfn.XLOOKUP(tActuals_1[[#This Row],[Account]],'Account-Overview'!A:A,'Account-Overview'!B:B)</f>
        <v>Marketing (Print)</v>
      </c>
      <c r="F427" s="10">
        <v>-3759.3345729041562</v>
      </c>
    </row>
    <row r="428" spans="1:6" x14ac:dyDescent="0.25">
      <c r="A428">
        <v>2025</v>
      </c>
      <c r="B428">
        <v>2544600170</v>
      </c>
      <c r="C428" s="4" t="s">
        <v>94</v>
      </c>
      <c r="D428" s="4" t="s">
        <v>71</v>
      </c>
      <c r="E428" t="str">
        <f>_xlfn.XLOOKUP(tActuals_1[[#This Row],[Account]],'Account-Overview'!A:A,'Account-Overview'!B:B)</f>
        <v>Marketing (Print)</v>
      </c>
      <c r="F428" s="10">
        <v>-3757.0973813010005</v>
      </c>
    </row>
    <row r="429" spans="1:6" x14ac:dyDescent="0.25">
      <c r="A429">
        <v>2025</v>
      </c>
      <c r="B429">
        <v>2544600170</v>
      </c>
      <c r="C429" s="4" t="s">
        <v>95</v>
      </c>
      <c r="D429" s="4" t="s">
        <v>72</v>
      </c>
      <c r="E429" t="str">
        <f>_xlfn.XLOOKUP(tActuals_1[[#This Row],[Account]],'Account-Overview'!A:A,'Account-Overview'!B:B)</f>
        <v>Marketing (Print)</v>
      </c>
      <c r="F429" s="10">
        <v>-3807.1657800000003</v>
      </c>
    </row>
    <row r="430" spans="1:6" x14ac:dyDescent="0.25">
      <c r="A430">
        <v>2025</v>
      </c>
      <c r="B430">
        <v>2561400000</v>
      </c>
      <c r="C430" s="4" t="s">
        <v>90</v>
      </c>
      <c r="D430" s="4" t="s">
        <v>67</v>
      </c>
      <c r="E430" t="str">
        <f>_xlfn.XLOOKUP(tActuals_1[[#This Row],[Account]],'Account-Overview'!A:A,'Account-Overview'!B:B)</f>
        <v>Rent</v>
      </c>
      <c r="F430" s="10">
        <v>-96777.789966000011</v>
      </c>
    </row>
    <row r="431" spans="1:6" x14ac:dyDescent="0.25">
      <c r="A431">
        <v>2025</v>
      </c>
      <c r="B431">
        <v>2561400000</v>
      </c>
      <c r="C431" s="4" t="s">
        <v>91</v>
      </c>
      <c r="D431" s="4" t="s">
        <v>68</v>
      </c>
      <c r="E431" t="str">
        <f>_xlfn.XLOOKUP(tActuals_1[[#This Row],[Account]],'Account-Overview'!A:A,'Account-Overview'!B:B)</f>
        <v>Rent</v>
      </c>
      <c r="F431" s="10">
        <v>-96777.789966000011</v>
      </c>
    </row>
    <row r="432" spans="1:6" x14ac:dyDescent="0.25">
      <c r="A432">
        <v>2025</v>
      </c>
      <c r="B432">
        <v>2561400000</v>
      </c>
      <c r="C432" s="4" t="s">
        <v>92</v>
      </c>
      <c r="D432" s="4" t="s">
        <v>69</v>
      </c>
      <c r="E432" t="str">
        <f>_xlfn.XLOOKUP(tActuals_1[[#This Row],[Account]],'Account-Overview'!A:A,'Account-Overview'!B:B)</f>
        <v>Rent</v>
      </c>
      <c r="F432" s="10">
        <v>-96777.789966000011</v>
      </c>
    </row>
    <row r="433" spans="1:6" x14ac:dyDescent="0.25">
      <c r="A433">
        <v>2025</v>
      </c>
      <c r="B433">
        <v>2561400000</v>
      </c>
      <c r="C433" s="4" t="s">
        <v>93</v>
      </c>
      <c r="D433" s="4" t="s">
        <v>70</v>
      </c>
      <c r="E433" t="str">
        <f>_xlfn.XLOOKUP(tActuals_1[[#This Row],[Account]],'Account-Overview'!A:A,'Account-Overview'!B:B)</f>
        <v>Rent</v>
      </c>
      <c r="F433" s="10">
        <v>-96777.789966000011</v>
      </c>
    </row>
    <row r="434" spans="1:6" x14ac:dyDescent="0.25">
      <c r="A434">
        <v>2025</v>
      </c>
      <c r="B434">
        <v>2561400000</v>
      </c>
      <c r="C434" s="4" t="s">
        <v>94</v>
      </c>
      <c r="D434" s="4" t="s">
        <v>71</v>
      </c>
      <c r="E434" t="str">
        <f>_xlfn.XLOOKUP(tActuals_1[[#This Row],[Account]],'Account-Overview'!A:A,'Account-Overview'!B:B)</f>
        <v>Rent</v>
      </c>
      <c r="F434" s="10">
        <v>-96777.789966000011</v>
      </c>
    </row>
    <row r="435" spans="1:6" x14ac:dyDescent="0.25">
      <c r="A435">
        <v>2025</v>
      </c>
      <c r="B435">
        <v>2561400000</v>
      </c>
      <c r="C435" s="4" t="s">
        <v>95</v>
      </c>
      <c r="D435" s="4" t="s">
        <v>72</v>
      </c>
      <c r="E435" t="str">
        <f>_xlfn.XLOOKUP(tActuals_1[[#This Row],[Account]],'Account-Overview'!A:A,'Account-Overview'!B:B)</f>
        <v>Rent</v>
      </c>
      <c r="F435" s="10">
        <v>-96777.789966000011</v>
      </c>
    </row>
    <row r="436" spans="1:6" x14ac:dyDescent="0.25">
      <c r="A436">
        <v>2025</v>
      </c>
      <c r="B436">
        <v>2627300000</v>
      </c>
      <c r="C436" s="4" t="s">
        <v>90</v>
      </c>
      <c r="D436" s="4" t="s">
        <v>67</v>
      </c>
      <c r="E436" t="str">
        <f>_xlfn.XLOOKUP(tActuals_1[[#This Row],[Account]],'Account-Overview'!A:A,'Account-Overview'!B:B)</f>
        <v>Consulting (BCG, KPMG, etc.)</v>
      </c>
      <c r="F436" s="10">
        <v>-11847.925782000002</v>
      </c>
    </row>
    <row r="437" spans="1:6" x14ac:dyDescent="0.25">
      <c r="A437">
        <v>2025</v>
      </c>
      <c r="B437">
        <v>2627300000</v>
      </c>
      <c r="C437" s="4" t="s">
        <v>91</v>
      </c>
      <c r="D437" s="4" t="s">
        <v>68</v>
      </c>
      <c r="E437" t="str">
        <f>_xlfn.XLOOKUP(tActuals_1[[#This Row],[Account]],'Account-Overview'!A:A,'Account-Overview'!B:B)</f>
        <v>Consulting (BCG, KPMG, etc.)</v>
      </c>
      <c r="F437" s="10">
        <v>-8517.8596140000009</v>
      </c>
    </row>
    <row r="438" spans="1:6" x14ac:dyDescent="0.25">
      <c r="A438">
        <v>2025</v>
      </c>
      <c r="B438">
        <v>2627300000</v>
      </c>
      <c r="C438" s="4" t="s">
        <v>92</v>
      </c>
      <c r="D438" s="4" t="s">
        <v>69</v>
      </c>
      <c r="E438" t="str">
        <f>_xlfn.XLOOKUP(tActuals_1[[#This Row],[Account]],'Account-Overview'!A:A,'Account-Overview'!B:B)</f>
        <v>Consulting (BCG, KPMG, etc.)</v>
      </c>
      <c r="F438" s="10">
        <v>-2207.6099100000006</v>
      </c>
    </row>
    <row r="439" spans="1:6" x14ac:dyDescent="0.25">
      <c r="A439">
        <v>2025</v>
      </c>
      <c r="B439">
        <v>2627300000</v>
      </c>
      <c r="C439" s="4" t="s">
        <v>93</v>
      </c>
      <c r="D439" s="4" t="s">
        <v>70</v>
      </c>
      <c r="E439" t="str">
        <f>_xlfn.XLOOKUP(tActuals_1[[#This Row],[Account]],'Account-Overview'!A:A,'Account-Overview'!B:B)</f>
        <v>Consulting (BCG, KPMG, etc.)</v>
      </c>
      <c r="F439" s="10">
        <v>-7067.7178110000013</v>
      </c>
    </row>
    <row r="440" spans="1:6" x14ac:dyDescent="0.25">
      <c r="A440">
        <v>2025</v>
      </c>
      <c r="B440">
        <v>2627300000</v>
      </c>
      <c r="C440" s="4" t="s">
        <v>94</v>
      </c>
      <c r="D440" s="4" t="s">
        <v>71</v>
      </c>
      <c r="E440" t="str">
        <f>_xlfn.XLOOKUP(tActuals_1[[#This Row],[Account]],'Account-Overview'!A:A,'Account-Overview'!B:B)</f>
        <v>Consulting (BCG, KPMG, etc.)</v>
      </c>
      <c r="F440" s="10">
        <v>-12834.947466000003</v>
      </c>
    </row>
    <row r="441" spans="1:6" x14ac:dyDescent="0.25">
      <c r="A441">
        <v>2025</v>
      </c>
      <c r="B441">
        <v>2627300000</v>
      </c>
      <c r="C441" s="4" t="s">
        <v>95</v>
      </c>
      <c r="D441" s="4" t="s">
        <v>72</v>
      </c>
      <c r="E441" t="str">
        <f>_xlfn.XLOOKUP(tActuals_1[[#This Row],[Account]],'Account-Overview'!A:A,'Account-Overview'!B:B)</f>
        <v>Consulting (BCG, KPMG, etc.)</v>
      </c>
      <c r="F441" s="10">
        <v>-22129.992621000005</v>
      </c>
    </row>
    <row r="442" spans="1:6" x14ac:dyDescent="0.25">
      <c r="A442">
        <v>2025</v>
      </c>
      <c r="B442">
        <v>2627100000</v>
      </c>
      <c r="C442" s="4" t="s">
        <v>90</v>
      </c>
      <c r="D442" s="4" t="s">
        <v>67</v>
      </c>
      <c r="E442" t="str">
        <f>_xlfn.XLOOKUP(tActuals_1[[#This Row],[Account]],'Account-Overview'!A:A,'Account-Overview'!B:B)</f>
        <v>Consulting (for different IT-Tools)</v>
      </c>
      <c r="F442" s="10">
        <v>-5832.7068690000006</v>
      </c>
    </row>
    <row r="443" spans="1:6" x14ac:dyDescent="0.25">
      <c r="A443">
        <v>2025</v>
      </c>
      <c r="B443">
        <v>2627100000</v>
      </c>
      <c r="C443" s="4" t="s">
        <v>91</v>
      </c>
      <c r="D443" s="4" t="s">
        <v>68</v>
      </c>
      <c r="E443" t="str">
        <f>_xlfn.XLOOKUP(tActuals_1[[#This Row],[Account]],'Account-Overview'!A:A,'Account-Overview'!B:B)</f>
        <v>Consulting (for different IT-Tools)</v>
      </c>
      <c r="F443" s="10">
        <v>-1808.1222390000003</v>
      </c>
    </row>
    <row r="444" spans="1:6" x14ac:dyDescent="0.25">
      <c r="A444">
        <v>2025</v>
      </c>
      <c r="B444">
        <v>2627100000</v>
      </c>
      <c r="C444" s="4" t="s">
        <v>92</v>
      </c>
      <c r="D444" s="4" t="s">
        <v>69</v>
      </c>
      <c r="E444" t="str">
        <f>_xlfn.XLOOKUP(tActuals_1[[#This Row],[Account]],'Account-Overview'!A:A,'Account-Overview'!B:B)</f>
        <v>Consulting (for different IT-Tools)</v>
      </c>
      <c r="F444" s="10">
        <v>-7327.0032660000015</v>
      </c>
    </row>
    <row r="445" spans="1:6" x14ac:dyDescent="0.25">
      <c r="A445">
        <v>2025</v>
      </c>
      <c r="B445">
        <v>2627100000</v>
      </c>
      <c r="C445" s="4" t="s">
        <v>93</v>
      </c>
      <c r="D445" s="4" t="s">
        <v>70</v>
      </c>
      <c r="E445" t="str">
        <f>_xlfn.XLOOKUP(tActuals_1[[#This Row],[Account]],'Account-Overview'!A:A,'Account-Overview'!B:B)</f>
        <v>Consulting (for different IT-Tools)</v>
      </c>
      <c r="F445" s="10">
        <v>-7621.5548970000018</v>
      </c>
    </row>
    <row r="446" spans="1:6" x14ac:dyDescent="0.25">
      <c r="A446">
        <v>2025</v>
      </c>
      <c r="B446">
        <v>2627100000</v>
      </c>
      <c r="C446" s="4" t="s">
        <v>94</v>
      </c>
      <c r="D446" s="4" t="s">
        <v>71</v>
      </c>
      <c r="E446" t="str">
        <f>_xlfn.XLOOKUP(tActuals_1[[#This Row],[Account]],'Account-Overview'!A:A,'Account-Overview'!B:B)</f>
        <v>Consulting (for different IT-Tools)</v>
      </c>
      <c r="F446" s="10">
        <v>-2082.0939480000002</v>
      </c>
    </row>
    <row r="447" spans="1:6" x14ac:dyDescent="0.25">
      <c r="A447">
        <v>2025</v>
      </c>
      <c r="B447">
        <v>2627100000</v>
      </c>
      <c r="C447" s="4" t="s">
        <v>95</v>
      </c>
      <c r="D447" s="4" t="s">
        <v>72</v>
      </c>
      <c r="E447" t="str">
        <f>_xlfn.XLOOKUP(tActuals_1[[#This Row],[Account]],'Account-Overview'!A:A,'Account-Overview'!B:B)</f>
        <v>Consulting (for different IT-Tools)</v>
      </c>
      <c r="F447" s="10">
        <v>-2059.214058</v>
      </c>
    </row>
    <row r="448" spans="1:6" x14ac:dyDescent="0.25">
      <c r="A448">
        <v>2025</v>
      </c>
      <c r="B448">
        <v>2601100200</v>
      </c>
      <c r="C448" s="4" t="s">
        <v>90</v>
      </c>
      <c r="D448" s="4" t="s">
        <v>67</v>
      </c>
      <c r="E448" t="str">
        <f>_xlfn.XLOOKUP(tActuals_1[[#This Row],[Account]],'Account-Overview'!A:A,'Account-Overview'!B:B)</f>
        <v>Travel</v>
      </c>
      <c r="F448" s="10">
        <v>-12843.859842000002</v>
      </c>
    </row>
    <row r="449" spans="1:6" x14ac:dyDescent="0.25">
      <c r="A449">
        <v>2025</v>
      </c>
      <c r="B449">
        <v>2601100200</v>
      </c>
      <c r="C449" s="4" t="s">
        <v>91</v>
      </c>
      <c r="D449" s="4" t="s">
        <v>68</v>
      </c>
      <c r="E449" t="str">
        <f>_xlfn.XLOOKUP(tActuals_1[[#This Row],[Account]],'Account-Overview'!A:A,'Account-Overview'!B:B)</f>
        <v>Travel</v>
      </c>
      <c r="F449" s="10">
        <v>-9002.1466260000016</v>
      </c>
    </row>
    <row r="450" spans="1:6" x14ac:dyDescent="0.25">
      <c r="A450">
        <v>2025</v>
      </c>
      <c r="B450">
        <v>2601100200</v>
      </c>
      <c r="C450" s="4" t="s">
        <v>92</v>
      </c>
      <c r="D450" s="4" t="s">
        <v>69</v>
      </c>
      <c r="E450" t="str">
        <f>_xlfn.XLOOKUP(tActuals_1[[#This Row],[Account]],'Account-Overview'!A:A,'Account-Overview'!B:B)</f>
        <v>Travel</v>
      </c>
      <c r="F450" s="10">
        <v>-674.07030900000018</v>
      </c>
    </row>
    <row r="451" spans="1:6" x14ac:dyDescent="0.25">
      <c r="A451">
        <v>2025</v>
      </c>
      <c r="B451">
        <v>2601100200</v>
      </c>
      <c r="C451" s="4" t="s">
        <v>93</v>
      </c>
      <c r="D451" s="4" t="s">
        <v>70</v>
      </c>
      <c r="E451" t="str">
        <f>_xlfn.XLOOKUP(tActuals_1[[#This Row],[Account]],'Account-Overview'!A:A,'Account-Overview'!B:B)</f>
        <v>Travel</v>
      </c>
      <c r="F451" s="10">
        <v>-782.94744000000003</v>
      </c>
    </row>
    <row r="452" spans="1:6" x14ac:dyDescent="0.25">
      <c r="A452">
        <v>2025</v>
      </c>
      <c r="B452">
        <v>2601100200</v>
      </c>
      <c r="C452" s="4" t="s">
        <v>94</v>
      </c>
      <c r="D452" s="4" t="s">
        <v>71</v>
      </c>
      <c r="E452" t="str">
        <f>_xlfn.XLOOKUP(tActuals_1[[#This Row],[Account]],'Account-Overview'!A:A,'Account-Overview'!B:B)</f>
        <v>Travel</v>
      </c>
      <c r="F452" s="10">
        <v>-1103.4935010000002</v>
      </c>
    </row>
    <row r="453" spans="1:6" x14ac:dyDescent="0.25">
      <c r="A453">
        <v>2025</v>
      </c>
      <c r="B453">
        <v>2601100200</v>
      </c>
      <c r="C453" s="4" t="s">
        <v>95</v>
      </c>
      <c r="D453" s="4" t="s">
        <v>72</v>
      </c>
      <c r="E453" t="str">
        <f>_xlfn.XLOOKUP(tActuals_1[[#This Row],[Account]],'Account-Overview'!A:A,'Account-Overview'!B:B)</f>
        <v>Travel</v>
      </c>
      <c r="F453" s="10">
        <v>-4852.5611310000004</v>
      </c>
    </row>
    <row r="454" spans="1:6" x14ac:dyDescent="0.25">
      <c r="A454">
        <v>2025</v>
      </c>
      <c r="B454">
        <v>2633100000</v>
      </c>
      <c r="C454" s="4" t="s">
        <v>90</v>
      </c>
      <c r="D454" s="4" t="s">
        <v>67</v>
      </c>
      <c r="E454" t="str">
        <f>_xlfn.XLOOKUP(tActuals_1[[#This Row],[Account]],'Account-Overview'!A:A,'Account-Overview'!B:B)</f>
        <v>Insurance (Cyber Security)</v>
      </c>
      <c r="F454" s="10">
        <v>-71860.823100000009</v>
      </c>
    </row>
    <row r="455" spans="1:6" x14ac:dyDescent="0.25">
      <c r="A455">
        <v>2025</v>
      </c>
      <c r="B455">
        <v>2633100000</v>
      </c>
      <c r="C455" s="4" t="s">
        <v>91</v>
      </c>
      <c r="D455" s="4" t="s">
        <v>68</v>
      </c>
      <c r="E455" t="str">
        <f>_xlfn.XLOOKUP(tActuals_1[[#This Row],[Account]],'Account-Overview'!A:A,'Account-Overview'!B:B)</f>
        <v>Insurance (Cyber Security)</v>
      </c>
      <c r="F455" s="10">
        <v>-13974.294114</v>
      </c>
    </row>
    <row r="456" spans="1:6" x14ac:dyDescent="0.25">
      <c r="A456">
        <v>2025</v>
      </c>
      <c r="B456">
        <v>2633100000</v>
      </c>
      <c r="C456" s="4" t="s">
        <v>92</v>
      </c>
      <c r="D456" s="4" t="s">
        <v>69</v>
      </c>
      <c r="E456" t="str">
        <f>_xlfn.XLOOKUP(tActuals_1[[#This Row],[Account]],'Account-Overview'!A:A,'Account-Overview'!B:B)</f>
        <v>Insurance (Cyber Security)</v>
      </c>
      <c r="F456" s="10">
        <v>-9383.5460070000008</v>
      </c>
    </row>
    <row r="457" spans="1:6" x14ac:dyDescent="0.25">
      <c r="A457">
        <v>2025</v>
      </c>
      <c r="B457">
        <v>2633100000</v>
      </c>
      <c r="C457" s="4" t="s">
        <v>93</v>
      </c>
      <c r="D457" s="4" t="s">
        <v>70</v>
      </c>
      <c r="E457" t="str">
        <f>_xlfn.XLOOKUP(tActuals_1[[#This Row],[Account]],'Account-Overview'!A:A,'Account-Overview'!B:B)</f>
        <v>Insurance (Cyber Security)</v>
      </c>
      <c r="F457" s="10">
        <v>-10880.322057000001</v>
      </c>
    </row>
    <row r="458" spans="1:6" x14ac:dyDescent="0.25">
      <c r="A458">
        <v>2025</v>
      </c>
      <c r="B458">
        <v>2633100000</v>
      </c>
      <c r="C458" s="4" t="s">
        <v>94</v>
      </c>
      <c r="D458" s="4" t="s">
        <v>71</v>
      </c>
      <c r="E458" t="str">
        <f>_xlfn.XLOOKUP(tActuals_1[[#This Row],[Account]],'Account-Overview'!A:A,'Account-Overview'!B:B)</f>
        <v>Insurance (Cyber Security)</v>
      </c>
      <c r="F458" s="10">
        <v>-10131.934032000001</v>
      </c>
    </row>
    <row r="459" spans="1:6" x14ac:dyDescent="0.25">
      <c r="A459">
        <v>2025</v>
      </c>
      <c r="B459">
        <v>2633100000</v>
      </c>
      <c r="C459" s="4" t="s">
        <v>95</v>
      </c>
      <c r="D459" s="4" t="s">
        <v>72</v>
      </c>
      <c r="E459" t="str">
        <f>_xlfn.XLOOKUP(tActuals_1[[#This Row],[Account]],'Account-Overview'!A:A,'Account-Overview'!B:B)</f>
        <v>Insurance (Cyber Security)</v>
      </c>
      <c r="F459" s="10">
        <v>-10131.934032000001</v>
      </c>
    </row>
    <row r="460" spans="1:6" x14ac:dyDescent="0.25">
      <c r="A460">
        <v>2025</v>
      </c>
      <c r="B460">
        <v>2633600000</v>
      </c>
      <c r="C460" s="4" t="s">
        <v>90</v>
      </c>
      <c r="D460" s="4" t="s">
        <v>67</v>
      </c>
      <c r="E460" t="str">
        <f>_xlfn.XLOOKUP(tActuals_1[[#This Row],[Account]],'Account-Overview'!A:A,'Account-Overview'!B:B)</f>
        <v>Insurance (Legal Protection)</v>
      </c>
      <c r="F460" s="10">
        <v>-27026.097417000004</v>
      </c>
    </row>
    <row r="461" spans="1:6" x14ac:dyDescent="0.25">
      <c r="A461">
        <v>2025</v>
      </c>
      <c r="B461">
        <v>2633600000</v>
      </c>
      <c r="C461" s="4" t="s">
        <v>91</v>
      </c>
      <c r="D461" s="4" t="s">
        <v>68</v>
      </c>
      <c r="E461" t="str">
        <f>_xlfn.XLOOKUP(tActuals_1[[#This Row],[Account]],'Account-Overview'!A:A,'Account-Overview'!B:B)</f>
        <v>Insurance (Legal Protection)</v>
      </c>
      <c r="F461" s="10">
        <v>-28340.037990000004</v>
      </c>
    </row>
    <row r="462" spans="1:6" x14ac:dyDescent="0.25">
      <c r="A462">
        <v>2025</v>
      </c>
      <c r="B462">
        <v>2633600000</v>
      </c>
      <c r="C462" s="4" t="s">
        <v>92</v>
      </c>
      <c r="D462" s="4" t="s">
        <v>69</v>
      </c>
      <c r="E462" t="str">
        <f>_xlfn.XLOOKUP(tActuals_1[[#This Row],[Account]],'Account-Overview'!A:A,'Account-Overview'!B:B)</f>
        <v>Insurance (Legal Protection)</v>
      </c>
      <c r="F462" s="10">
        <v>-28256.017284000001</v>
      </c>
    </row>
    <row r="463" spans="1:6" x14ac:dyDescent="0.25">
      <c r="A463">
        <v>2025</v>
      </c>
      <c r="B463">
        <v>2633600000</v>
      </c>
      <c r="C463" s="4" t="s">
        <v>93</v>
      </c>
      <c r="D463" s="4" t="s">
        <v>70</v>
      </c>
      <c r="E463" t="str">
        <f>_xlfn.XLOOKUP(tActuals_1[[#This Row],[Account]],'Account-Overview'!A:A,'Account-Overview'!B:B)</f>
        <v>Insurance (Legal Protection)</v>
      </c>
      <c r="F463" s="10">
        <v>-25741.912680000005</v>
      </c>
    </row>
    <row r="464" spans="1:6" x14ac:dyDescent="0.25">
      <c r="A464">
        <v>2025</v>
      </c>
      <c r="B464">
        <v>2633600000</v>
      </c>
      <c r="C464" s="4" t="s">
        <v>94</v>
      </c>
      <c r="D464" s="4" t="s">
        <v>71</v>
      </c>
      <c r="E464" t="str">
        <f>_xlfn.XLOOKUP(tActuals_1[[#This Row],[Account]],'Account-Overview'!A:A,'Account-Overview'!B:B)</f>
        <v>Insurance (Legal Protection)</v>
      </c>
      <c r="F464" s="10">
        <v>-24393.041343000004</v>
      </c>
    </row>
    <row r="465" spans="1:6" x14ac:dyDescent="0.25">
      <c r="A465">
        <v>2025</v>
      </c>
      <c r="B465">
        <v>2633600000</v>
      </c>
      <c r="C465" s="4" t="s">
        <v>95</v>
      </c>
      <c r="D465" s="4" t="s">
        <v>72</v>
      </c>
      <c r="E465" t="str">
        <f>_xlfn.XLOOKUP(tActuals_1[[#This Row],[Account]],'Account-Overview'!A:A,'Account-Overview'!B:B)</f>
        <v>Insurance (Legal Protection)</v>
      </c>
      <c r="F465" s="10">
        <v>-25141.213746000005</v>
      </c>
    </row>
    <row r="466" spans="1:6" x14ac:dyDescent="0.25">
      <c r="A466">
        <v>2025</v>
      </c>
      <c r="B466">
        <v>2616100000</v>
      </c>
      <c r="C466" s="4" t="s">
        <v>92</v>
      </c>
      <c r="D466" s="4" t="s">
        <v>69</v>
      </c>
      <c r="E466" t="str">
        <f>_xlfn.XLOOKUP(tActuals_1[[#This Row],[Account]],'Account-Overview'!A:A,'Account-Overview'!B:B)</f>
        <v>Insurance (Others)</v>
      </c>
      <c r="F466" s="10">
        <v>-38153.678013000012</v>
      </c>
    </row>
  </sheetData>
  <phoneticPr fontId="7" type="noConversion"/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16B4-E5B9-49EB-9F11-F18E29727249}">
  <sheetPr>
    <tabColor rgb="FFFFC000"/>
  </sheetPr>
  <dimension ref="A2:T42"/>
  <sheetViews>
    <sheetView zoomScale="70" zoomScaleNormal="70" workbookViewId="0">
      <selection activeCell="J5" sqref="J5"/>
    </sheetView>
  </sheetViews>
  <sheetFormatPr defaultRowHeight="15" x14ac:dyDescent="0.25"/>
  <cols>
    <col min="1" max="1" width="31.42578125" bestFit="1" customWidth="1"/>
    <col min="2" max="7" width="14.42578125" bestFit="1" customWidth="1"/>
    <col min="8" max="8" width="13.85546875" bestFit="1" customWidth="1"/>
    <col min="9" max="19" width="14.42578125" bestFit="1" customWidth="1"/>
    <col min="20" max="20" width="12.7109375" bestFit="1" customWidth="1"/>
  </cols>
  <sheetData>
    <row r="2" spans="1:20" x14ac:dyDescent="0.25">
      <c r="A2" s="23" t="s">
        <v>106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I2" s="23" t="s">
        <v>84</v>
      </c>
      <c r="J2" s="23" t="s">
        <v>85</v>
      </c>
      <c r="K2" s="23" t="s">
        <v>86</v>
      </c>
      <c r="L2" s="23" t="s">
        <v>87</v>
      </c>
      <c r="M2" s="23" t="s">
        <v>88</v>
      </c>
      <c r="N2" s="23" t="s">
        <v>90</v>
      </c>
      <c r="O2" s="23" t="s">
        <v>91</v>
      </c>
      <c r="P2" s="23" t="s">
        <v>92</v>
      </c>
      <c r="Q2" s="23" t="s">
        <v>93</v>
      </c>
      <c r="R2" s="23" t="s">
        <v>94</v>
      </c>
      <c r="S2" s="23" t="s">
        <v>95</v>
      </c>
      <c r="T2" s="22"/>
    </row>
    <row r="3" spans="1:20" x14ac:dyDescent="0.25">
      <c r="A3" t="str">
        <f>tActuals!I12</f>
        <v>Revenue (DE)</v>
      </c>
      <c r="B3" s="6">
        <f>tActuals!J12</f>
        <v>15253265.183500798</v>
      </c>
      <c r="C3" s="6">
        <f>tActuals!K12</f>
        <v>21088785.627172202</v>
      </c>
      <c r="D3" s="6">
        <f>tActuals!L12</f>
        <v>28741335.630000003</v>
      </c>
      <c r="E3" s="6">
        <f>tActuals!M12</f>
        <v>26580932.569999997</v>
      </c>
      <c r="F3" s="6">
        <f>tActuals!N12</f>
        <v>23988357.32</v>
      </c>
      <c r="G3" s="6">
        <f>tActuals!O12</f>
        <v>19024409.09</v>
      </c>
      <c r="H3" s="6">
        <f>tActuals!P12</f>
        <v>14219294.350000001</v>
      </c>
      <c r="I3" s="6">
        <f>tActuals!Q12</f>
        <v>17479568.300000001</v>
      </c>
      <c r="J3" s="6">
        <f>tActuals!R12</f>
        <v>30454508.600000001</v>
      </c>
      <c r="K3" s="6">
        <f>tActuals!S12</f>
        <v>27409176.349999998</v>
      </c>
      <c r="L3" s="6">
        <f>tActuals!T12</f>
        <v>29731107.890000001</v>
      </c>
      <c r="M3" s="6">
        <f>tActuals!U12</f>
        <v>28260518.369999997</v>
      </c>
      <c r="N3" s="6">
        <f>tActuals!V12</f>
        <v>15587141.759999998</v>
      </c>
      <c r="O3" s="6">
        <f>tActuals!W12</f>
        <v>21550395.090000004</v>
      </c>
      <c r="P3" s="6">
        <f>tActuals!X12</f>
        <v>25921509.449999996</v>
      </c>
      <c r="Q3" s="6">
        <f>tActuals!Y12</f>
        <v>19150184.419999998</v>
      </c>
      <c r="R3" s="6">
        <f>tActuals!Z12</f>
        <v>20358143.84</v>
      </c>
      <c r="S3" s="6">
        <f>tActuals!AA12</f>
        <v>18521907.539999999</v>
      </c>
    </row>
    <row r="4" spans="1:20" x14ac:dyDescent="0.25">
      <c r="A4" t="str">
        <f>tActuals!I13</f>
        <v>Revenue (NL)</v>
      </c>
      <c r="B4" s="6">
        <f>tActuals!J13</f>
        <v>1501984.7344124001</v>
      </c>
      <c r="C4" s="6">
        <f>tActuals!K13</f>
        <v>1151264.0289695999</v>
      </c>
      <c r="D4" s="6">
        <f>tActuals!L13</f>
        <v>1470333.47</v>
      </c>
      <c r="E4" s="6">
        <f>tActuals!M13</f>
        <v>1628563.6500000001</v>
      </c>
      <c r="F4" s="6">
        <f>tActuals!N13</f>
        <v>1562604.23</v>
      </c>
      <c r="G4" s="6">
        <f>tActuals!O13</f>
        <v>1485195.23</v>
      </c>
      <c r="H4" s="6">
        <f>tActuals!P13</f>
        <v>1131820.5599999998</v>
      </c>
      <c r="I4" s="6">
        <f>tActuals!Q13</f>
        <v>821780.29</v>
      </c>
      <c r="J4" s="6">
        <f>tActuals!R13</f>
        <v>1303688.0299999998</v>
      </c>
      <c r="K4" s="6">
        <f>tActuals!S13</f>
        <v>1535434.2</v>
      </c>
      <c r="L4" s="6">
        <f>tActuals!T13</f>
        <v>1544790.7000000002</v>
      </c>
      <c r="M4" s="6">
        <f>tActuals!U13</f>
        <v>1497762.41</v>
      </c>
      <c r="N4" s="6">
        <f>tActuals!V13</f>
        <v>1520904.79</v>
      </c>
      <c r="O4" s="6">
        <f>tActuals!W13</f>
        <v>1165766.1599999999</v>
      </c>
      <c r="P4" s="6">
        <f>tActuals!X13</f>
        <v>1397252.56</v>
      </c>
      <c r="Q4" s="6">
        <f>tActuals!Y13</f>
        <v>1562865.42</v>
      </c>
      <c r="R4" s="6">
        <f>tActuals!Z13</f>
        <v>1748359.82</v>
      </c>
      <c r="S4" s="6">
        <f>tActuals!AA13</f>
        <v>1444158.71</v>
      </c>
    </row>
    <row r="5" spans="1:20" x14ac:dyDescent="0.25">
      <c r="A5" t="str">
        <f>tActuals!I14</f>
        <v>Revenue (PL)</v>
      </c>
      <c r="B5" s="6">
        <f>tActuals!J14</f>
        <v>1147673.5472020002</v>
      </c>
      <c r="C5" s="6">
        <f>tActuals!K14</f>
        <v>1358569.75037</v>
      </c>
      <c r="D5" s="6">
        <f>tActuals!L14</f>
        <v>1865549.31</v>
      </c>
      <c r="E5" s="6">
        <f>tActuals!M14</f>
        <v>1798306.99</v>
      </c>
      <c r="F5" s="6">
        <f>tActuals!N14</f>
        <v>1442012.0299999998</v>
      </c>
      <c r="G5" s="6">
        <f>tActuals!O14</f>
        <v>1276426.21</v>
      </c>
      <c r="H5" s="6">
        <f>tActuals!P14</f>
        <v>924149.82000000007</v>
      </c>
      <c r="I5" s="6">
        <f>tActuals!Q14</f>
        <v>1275012.28</v>
      </c>
      <c r="J5" s="6">
        <f>tActuals!R14</f>
        <v>1870121.79</v>
      </c>
      <c r="K5" s="6">
        <f>tActuals!S14</f>
        <v>1872141.15</v>
      </c>
      <c r="L5" s="6">
        <f>tActuals!T14</f>
        <v>2161137.13</v>
      </c>
      <c r="M5" s="6">
        <f>tActuals!U14</f>
        <v>1688403.08</v>
      </c>
      <c r="N5" s="6">
        <f>tActuals!V14</f>
        <v>1162130.4500000002</v>
      </c>
      <c r="O5" s="6">
        <f>tActuals!W14</f>
        <v>1375683.25</v>
      </c>
      <c r="P5" s="6">
        <f>tActuals!X14</f>
        <v>1741665.93</v>
      </c>
      <c r="Q5" s="6">
        <f>tActuals!Y14</f>
        <v>1276638.8700000001</v>
      </c>
      <c r="R5" s="6">
        <f>tActuals!Z14</f>
        <v>1297552.5299999998</v>
      </c>
      <c r="S5" s="6">
        <f>tActuals!AA14</f>
        <v>1173863.2000000002</v>
      </c>
    </row>
    <row r="6" spans="1:20" x14ac:dyDescent="0.25">
      <c r="A6" s="22" t="str">
        <f>tActuals!I15</f>
        <v>REVENUE</v>
      </c>
      <c r="B6" s="6">
        <f>tActuals!J15</f>
        <v>17902923.465115197</v>
      </c>
      <c r="C6" s="6">
        <f>tActuals!K15</f>
        <v>23598619.406511802</v>
      </c>
      <c r="D6" s="6">
        <f>tActuals!L15</f>
        <v>32077218.41</v>
      </c>
      <c r="E6" s="6">
        <f>tActuals!M15</f>
        <v>30007803.209999993</v>
      </c>
      <c r="F6" s="6">
        <f>tActuals!N15</f>
        <v>26992973.580000002</v>
      </c>
      <c r="G6" s="6">
        <f>tActuals!O15</f>
        <v>21786030.530000001</v>
      </c>
      <c r="H6" s="6">
        <f>tActuals!P15</f>
        <v>16275264.730000002</v>
      </c>
      <c r="I6" s="6">
        <f>tActuals!Q15</f>
        <v>19576360.870000001</v>
      </c>
      <c r="J6" s="6">
        <f>tActuals!R15</f>
        <v>33628318.420000002</v>
      </c>
      <c r="K6" s="6">
        <f>tActuals!S15</f>
        <v>30816751.699999996</v>
      </c>
      <c r="L6" s="6">
        <f>tActuals!T15</f>
        <v>33437035.719999999</v>
      </c>
      <c r="M6" s="6">
        <f>tActuals!U15</f>
        <v>31446683.859999999</v>
      </c>
      <c r="N6" s="6">
        <f>tActuals!V15</f>
        <v>18270176.999999996</v>
      </c>
      <c r="O6" s="6">
        <f>tActuals!W15</f>
        <v>24091844.500000004</v>
      </c>
      <c r="P6" s="6">
        <f>tActuals!X15</f>
        <v>29060427.939999994</v>
      </c>
      <c r="Q6" s="6">
        <f>tActuals!Y15</f>
        <v>21989688.709999997</v>
      </c>
      <c r="R6" s="6">
        <f>tActuals!Z15</f>
        <v>23404056.190000001</v>
      </c>
      <c r="S6" s="6">
        <f>tActuals!AA15</f>
        <v>21139929.449999999</v>
      </c>
    </row>
    <row r="7" spans="1:20" x14ac:dyDescent="0.25">
      <c r="A7" t="str">
        <f>tActuals!I16</f>
        <v>COGS (DE)</v>
      </c>
      <c r="B7" s="6">
        <f>tActuals!J16</f>
        <v>-9336788.7345072329</v>
      </c>
      <c r="C7" s="6">
        <f>tActuals!K16</f>
        <v>-12888477.307886396</v>
      </c>
      <c r="D7" s="6">
        <f>tActuals!L16</f>
        <v>-17560389.519540392</v>
      </c>
      <c r="E7" s="6">
        <f>tActuals!M16</f>
        <v>-16154015.034733448</v>
      </c>
      <c r="F7" s="6">
        <f>tActuals!N16</f>
        <v>-14572287.713533852</v>
      </c>
      <c r="G7" s="6">
        <f>tActuals!O16</f>
        <v>-11649164.578394977</v>
      </c>
      <c r="H7" s="6">
        <f>tActuals!P16</f>
        <v>-8686540.3381481916</v>
      </c>
      <c r="I7" s="6">
        <f>tActuals!Q16</f>
        <v>-10685746.351340942</v>
      </c>
      <c r="J7" s="6">
        <f>tActuals!R16</f>
        <v>-18480801.116032291</v>
      </c>
      <c r="K7" s="6">
        <f>tActuals!S16</f>
        <v>-16614971.979088241</v>
      </c>
      <c r="L7" s="6">
        <f>tActuals!T16</f>
        <v>-18080349.897248216</v>
      </c>
      <c r="M7" s="6">
        <f>tActuals!U16</f>
        <v>-17253623.790924061</v>
      </c>
      <c r="N7" s="6">
        <f>tActuals!V16</f>
        <v>-9511517.2004292104</v>
      </c>
      <c r="O7" s="6">
        <f>tActuals!W16</f>
        <v>-13135651.094679004</v>
      </c>
      <c r="P7" s="6">
        <f>tActuals!X16</f>
        <v>-15677777.382166883</v>
      </c>
      <c r="Q7" s="6">
        <f>tActuals!Y16</f>
        <v>-11529761.10350487</v>
      </c>
      <c r="R7" s="6">
        <f>tActuals!Z16</f>
        <v>-12207980.403199045</v>
      </c>
      <c r="S7" s="6">
        <f>tActuals!AA16</f>
        <v>-11216653.512991706</v>
      </c>
    </row>
    <row r="8" spans="1:20" x14ac:dyDescent="0.25">
      <c r="A8" t="str">
        <f>tActuals!I17</f>
        <v>COGS (NL)</v>
      </c>
      <c r="B8" s="6">
        <f>tActuals!J17</f>
        <v>-927479.00660414749</v>
      </c>
      <c r="C8" s="6">
        <f>tActuals!K17</f>
        <v>-704715.47410218394</v>
      </c>
      <c r="D8" s="6">
        <f>tActuals!L17</f>
        <v>-891741.66147497704</v>
      </c>
      <c r="E8" s="6">
        <f>tActuals!M17</f>
        <v>-997120.07745444344</v>
      </c>
      <c r="F8" s="6">
        <f>tActuals!N17</f>
        <v>-960150.55309049494</v>
      </c>
      <c r="G8" s="6">
        <f>tActuals!O17</f>
        <v>-920083.11247849581</v>
      </c>
      <c r="H8" s="6">
        <f>tActuals!P17</f>
        <v>-707533.22756387549</v>
      </c>
      <c r="I8" s="6">
        <f>tActuals!Q17</f>
        <v>-510035.97374145529</v>
      </c>
      <c r="J8" s="6">
        <f>tActuals!R17</f>
        <v>-798532.1424569916</v>
      </c>
      <c r="K8" s="6">
        <f>tActuals!S17</f>
        <v>-934751.90993476647</v>
      </c>
      <c r="L8" s="6">
        <f>tActuals!T17</f>
        <v>-940569.68295495713</v>
      </c>
      <c r="M8" s="6">
        <f>tActuals!U17</f>
        <v>-919269.08173384296</v>
      </c>
      <c r="N8" s="6">
        <f>tActuals!V17</f>
        <v>-927464.07947095949</v>
      </c>
      <c r="O8" s="6">
        <f>tActuals!W17</f>
        <v>-705415.86234208697</v>
      </c>
      <c r="P8" s="6">
        <f>tActuals!X17</f>
        <v>-844968.03555313603</v>
      </c>
      <c r="Q8" s="6">
        <f>tActuals!Y17</f>
        <v>-951185.12176403822</v>
      </c>
      <c r="R8" s="6">
        <f>tActuals!Z17</f>
        <v>-1063118.2467180912</v>
      </c>
      <c r="S8" s="6">
        <f>tActuals!AA17</f>
        <v>-883462.24840680009</v>
      </c>
    </row>
    <row r="9" spans="1:20" x14ac:dyDescent="0.25">
      <c r="A9" t="str">
        <f>tActuals!I18</f>
        <v>COGS (PL)</v>
      </c>
      <c r="B9" s="6">
        <f>tActuals!J18</f>
        <v>-723645.01494004123</v>
      </c>
      <c r="C9" s="6">
        <f>tActuals!K18</f>
        <v>-851880.0874124564</v>
      </c>
      <c r="D9" s="6">
        <f>tActuals!L18</f>
        <v>-1172064.4363036081</v>
      </c>
      <c r="E9" s="6">
        <f>tActuals!M18</f>
        <v>-1119928.4824158766</v>
      </c>
      <c r="F9" s="6">
        <f>tActuals!N18</f>
        <v>-903671.5366455121</v>
      </c>
      <c r="G9" s="6">
        <f>tActuals!O18</f>
        <v>-811095.8285900976</v>
      </c>
      <c r="H9" s="6">
        <f>tActuals!P18</f>
        <v>-590189.53394671693</v>
      </c>
      <c r="I9" s="6">
        <f>tActuals!Q18</f>
        <v>-805823.52410282835</v>
      </c>
      <c r="J9" s="6">
        <f>tActuals!R18</f>
        <v>-1178510.9915419267</v>
      </c>
      <c r="K9" s="6">
        <f>tActuals!S18</f>
        <v>-1166665.5965778399</v>
      </c>
      <c r="L9" s="6">
        <f>tActuals!T18</f>
        <v>-1349251.958093368</v>
      </c>
      <c r="M9" s="6">
        <f>tActuals!U18</f>
        <v>-1055502.7897308101</v>
      </c>
      <c r="N9" s="6">
        <f>tActuals!V18</f>
        <v>-729894.78932666406</v>
      </c>
      <c r="O9" s="6">
        <f>tActuals!W18</f>
        <v>-860147.62850186089</v>
      </c>
      <c r="P9" s="6">
        <f>tActuals!X18</f>
        <v>-1085322.4078376205</v>
      </c>
      <c r="Q9" s="6">
        <f>tActuals!Y18</f>
        <v>-790838.16351295868</v>
      </c>
      <c r="R9" s="6">
        <f>tActuals!Z18</f>
        <v>-806592.5920911869</v>
      </c>
      <c r="S9" s="6">
        <f>tActuals!AA18</f>
        <v>-734792.92918374401</v>
      </c>
    </row>
    <row r="10" spans="1:20" x14ac:dyDescent="0.25">
      <c r="A10" t="str">
        <f>tActuals!I19</f>
        <v>COGS (Others)</v>
      </c>
      <c r="B10" s="6">
        <f>tActuals!J19</f>
        <v>-11398.766246217199</v>
      </c>
      <c r="C10" s="6">
        <f>tActuals!K19</f>
        <v>-8839.5312757342381</v>
      </c>
      <c r="D10" s="6">
        <f>tActuals!L19</f>
        <v>-11413.751431754767</v>
      </c>
      <c r="E10" s="6">
        <f>tActuals!M19</f>
        <v>-12483.943369729634</v>
      </c>
      <c r="F10" s="6">
        <f>tActuals!N19</f>
        <v>-11682.298274725941</v>
      </c>
      <c r="G10" s="6">
        <f>tActuals!O19</f>
        <v>-11405.38670121858</v>
      </c>
      <c r="H10" s="6">
        <f>tActuals!P19</f>
        <v>-8858.3160090997208</v>
      </c>
      <c r="I10" s="6">
        <f>tActuals!Q19</f>
        <v>-6168.2206145791097</v>
      </c>
      <c r="J10" s="6">
        <f>tActuals!R19</f>
        <v>-9898.6360629322153</v>
      </c>
      <c r="K10" s="6">
        <f>tActuals!S19</f>
        <v>-11587.221695428991</v>
      </c>
      <c r="L10" s="6">
        <f>tActuals!T19</f>
        <v>-11659.33904019412</v>
      </c>
      <c r="M10" s="6">
        <f>tActuals!U19</f>
        <v>-11282.471231553485</v>
      </c>
      <c r="N10" s="6">
        <f>tActuals!V19</f>
        <v>-11611.850274976412</v>
      </c>
      <c r="O10" s="6">
        <f>tActuals!W19</f>
        <v>-8922.8193539330478</v>
      </c>
      <c r="P10" s="6">
        <f>tActuals!X19</f>
        <v>-10794.897760331902</v>
      </c>
      <c r="Q10" s="6">
        <f>tActuals!Y19</f>
        <v>-12371.126846267103</v>
      </c>
      <c r="R10" s="6">
        <f>tActuals!Z19</f>
        <v>-13693.74107909236</v>
      </c>
      <c r="S10" s="6">
        <f>tActuals!AA19</f>
        <v>-11170.573158653138</v>
      </c>
    </row>
    <row r="11" spans="1:20" x14ac:dyDescent="0.25">
      <c r="A11" s="22" t="str">
        <f>tActuals!I20</f>
        <v>COGS</v>
      </c>
      <c r="B11" s="6">
        <f>tActuals!J20</f>
        <v>-10999311.522297639</v>
      </c>
      <c r="C11" s="6">
        <f>tActuals!K20</f>
        <v>-14453912.40067677</v>
      </c>
      <c r="D11" s="6">
        <f>tActuals!L20</f>
        <v>-19635609.368750732</v>
      </c>
      <c r="E11" s="6">
        <f>tActuals!M20</f>
        <v>-18283547.537973501</v>
      </c>
      <c r="F11" s="6">
        <f>tActuals!N20</f>
        <v>-16447792.101544585</v>
      </c>
      <c r="G11" s="6">
        <f>tActuals!O20</f>
        <v>-13391748.90616479</v>
      </c>
      <c r="H11" s="6">
        <f>tActuals!P20</f>
        <v>-9993121.4156678841</v>
      </c>
      <c r="I11" s="6">
        <f>tActuals!Q20</f>
        <v>-12007774.069799803</v>
      </c>
      <c r="J11" s="6">
        <f>tActuals!R20</f>
        <v>-20467742.886094138</v>
      </c>
      <c r="K11" s="6">
        <f>tActuals!S20</f>
        <v>-18727976.707296275</v>
      </c>
      <c r="L11" s="6">
        <f>tActuals!T20</f>
        <v>-20381830.877336733</v>
      </c>
      <c r="M11" s="6">
        <f>tActuals!U20</f>
        <v>-19239678.133620266</v>
      </c>
      <c r="N11" s="6">
        <f>tActuals!V20</f>
        <v>-11180487.919501811</v>
      </c>
      <c r="O11" s="6">
        <f>tActuals!W20</f>
        <v>-14710137.404876884</v>
      </c>
      <c r="P11" s="6">
        <f>tActuals!X20</f>
        <v>-17618862.723317973</v>
      </c>
      <c r="Q11" s="6">
        <f>tActuals!Y20</f>
        <v>-13284155.515628133</v>
      </c>
      <c r="R11" s="6">
        <f>tActuals!Z20</f>
        <v>-14091384.983087417</v>
      </c>
      <c r="S11" s="6">
        <f>tActuals!AA20</f>
        <v>-12846079.263740903</v>
      </c>
    </row>
    <row r="12" spans="1:20" x14ac:dyDescent="0.25">
      <c r="A12" s="22" t="str">
        <f>tActuals!I21</f>
        <v>GROSS PROFIT</v>
      </c>
      <c r="B12" s="6">
        <f>tActuals!J21</f>
        <v>6903611.9428175576</v>
      </c>
      <c r="C12" s="6">
        <f>tActuals!K21</f>
        <v>9144707.0058350321</v>
      </c>
      <c r="D12" s="6">
        <f>tActuals!L21</f>
        <v>12441609.041249268</v>
      </c>
      <c r="E12" s="6">
        <f>tActuals!M21</f>
        <v>11724255.672026493</v>
      </c>
      <c r="F12" s="6">
        <f>tActuals!N21</f>
        <v>10545181.478455417</v>
      </c>
      <c r="G12" s="6">
        <f>tActuals!O21</f>
        <v>8394281.6238352116</v>
      </c>
      <c r="H12" s="6">
        <f>tActuals!P21</f>
        <v>6282143.3143321183</v>
      </c>
      <c r="I12" s="6">
        <f>tActuals!Q21</f>
        <v>7568586.8002001978</v>
      </c>
      <c r="J12" s="6">
        <f>tActuals!R21</f>
        <v>13160575.533905864</v>
      </c>
      <c r="K12" s="6">
        <f>tActuals!S21</f>
        <v>12088774.992703721</v>
      </c>
      <c r="L12" s="6">
        <f>tActuals!T21</f>
        <v>13055204.842663266</v>
      </c>
      <c r="M12" s="6">
        <f>tActuals!U21</f>
        <v>12207005.726379734</v>
      </c>
      <c r="N12" s="6">
        <f>tActuals!V21</f>
        <v>7089689.080498185</v>
      </c>
      <c r="O12" s="6">
        <f>tActuals!W21</f>
        <v>9381707.0951231197</v>
      </c>
      <c r="P12" s="6">
        <f>tActuals!X21</f>
        <v>11441565.216682021</v>
      </c>
      <c r="Q12" s="6">
        <f>tActuals!Y21</f>
        <v>8705533.1943718642</v>
      </c>
      <c r="R12" s="6">
        <f>tActuals!Z21</f>
        <v>9312671.2069125846</v>
      </c>
      <c r="S12" s="6">
        <f>tActuals!AA21</f>
        <v>8293850.1862590965</v>
      </c>
    </row>
    <row r="13" spans="1:20" x14ac:dyDescent="0.25">
      <c r="A13" t="str">
        <f>tActuals!I22</f>
        <v>Payment (Credit Card)</v>
      </c>
      <c r="B13" s="6">
        <f>tActuals!J22</f>
        <v>-67059.167186793871</v>
      </c>
      <c r="C13" s="6">
        <f>tActuals!K22</f>
        <v>-87119.241687380854</v>
      </c>
      <c r="D13" s="6">
        <f>tActuals!L22</f>
        <v>-123829.24404732311</v>
      </c>
      <c r="E13" s="6">
        <f>tActuals!M22</f>
        <v>-118127.48462381828</v>
      </c>
      <c r="F13" s="6">
        <f>tActuals!N22</f>
        <v>-111368.19520867856</v>
      </c>
      <c r="G13" s="6">
        <f>tActuals!O22</f>
        <v>-89145.294525000019</v>
      </c>
      <c r="H13" s="6">
        <f>tActuals!P22</f>
        <v>-65228.702607886691</v>
      </c>
      <c r="I13" s="6">
        <f>tActuals!Q22</f>
        <v>-72627.05919597407</v>
      </c>
      <c r="J13" s="6">
        <f>tActuals!R22</f>
        <v>-113058.288</v>
      </c>
      <c r="K13" s="6">
        <f>tActuals!S22</f>
        <v>-120163.84583953067</v>
      </c>
      <c r="L13" s="6">
        <f>tActuals!T22</f>
        <v>-120876.87312739773</v>
      </c>
      <c r="M13" s="6">
        <f>tActuals!U22</f>
        <v>-106978.35630500953</v>
      </c>
      <c r="N13" s="6">
        <f>tActuals!V22</f>
        <v>-74250.497054608073</v>
      </c>
      <c r="O13" s="6">
        <f>tActuals!W22</f>
        <v>-90525.201571920741</v>
      </c>
      <c r="P13" s="6">
        <f>tActuals!X22</f>
        <v>-120810.01492454309</v>
      </c>
      <c r="Q13" s="6">
        <f>tActuals!Y22</f>
        <v>-111996.59830255566</v>
      </c>
      <c r="R13" s="6">
        <f>tActuals!Z22</f>
        <v>-114779.62223885756</v>
      </c>
      <c r="S13" s="6">
        <f>tActuals!AA22</f>
        <v>-104151.2659339878</v>
      </c>
    </row>
    <row r="14" spans="1:20" x14ac:dyDescent="0.25">
      <c r="A14" t="str">
        <f>tActuals!I23</f>
        <v>Payment (PayPal)</v>
      </c>
      <c r="B14" s="6">
        <f>tActuals!J23</f>
        <v>-317875.15393591078</v>
      </c>
      <c r="C14" s="6">
        <f>tActuals!K23</f>
        <v>-409768.75901953521</v>
      </c>
      <c r="D14" s="6">
        <f>tActuals!L23</f>
        <v>-568307.7391289206</v>
      </c>
      <c r="E14" s="6">
        <f>tActuals!M23</f>
        <v>-511261.6976856743</v>
      </c>
      <c r="F14" s="6">
        <f>tActuals!N23</f>
        <v>-467668.52780748886</v>
      </c>
      <c r="G14" s="6">
        <f>tActuals!O23</f>
        <v>-381856.68402023375</v>
      </c>
      <c r="H14" s="6">
        <f>tActuals!P23</f>
        <v>-285451.89651801134</v>
      </c>
      <c r="I14" s="6">
        <f>tActuals!Q23</f>
        <v>-344870.89313454035</v>
      </c>
      <c r="J14" s="6">
        <f>tActuals!R23</f>
        <v>-596806.46392799029</v>
      </c>
      <c r="K14" s="6">
        <f>tActuals!S23</f>
        <v>-546218.24839118612</v>
      </c>
      <c r="L14" s="6">
        <f>tActuals!T23</f>
        <v>-589848.29245393933</v>
      </c>
      <c r="M14" s="6">
        <f>tActuals!U23</f>
        <v>-565735.57611375523</v>
      </c>
      <c r="N14" s="6">
        <f>tActuals!V23</f>
        <v>-329966.84307302831</v>
      </c>
      <c r="O14" s="6">
        <f>tActuals!W23</f>
        <v>-444477.28743122064</v>
      </c>
      <c r="P14" s="6">
        <f>tActuals!X23</f>
        <v>-530386.95979647711</v>
      </c>
      <c r="Q14" s="6">
        <f>tActuals!Y23</f>
        <v>-380806.02657311741</v>
      </c>
      <c r="R14" s="6">
        <f>tActuals!Z23</f>
        <v>-409564.1491219647</v>
      </c>
      <c r="S14" s="6">
        <f>tActuals!AA23</f>
        <v>-367756.22248826141</v>
      </c>
    </row>
    <row r="15" spans="1:20" x14ac:dyDescent="0.25">
      <c r="A15" s="22" t="str">
        <f>tActuals!I24</f>
        <v>PAYMENT</v>
      </c>
      <c r="B15" s="6">
        <f>tActuals!J24</f>
        <v>-384934.32112270466</v>
      </c>
      <c r="C15" s="6">
        <f>tActuals!K24</f>
        <v>-496888.00070691609</v>
      </c>
      <c r="D15" s="6">
        <f>tActuals!L24</f>
        <v>-692136.98317624372</v>
      </c>
      <c r="E15" s="6">
        <f>tActuals!M24</f>
        <v>-629389.18230949261</v>
      </c>
      <c r="F15" s="6">
        <f>tActuals!N24</f>
        <v>-579036.72301616741</v>
      </c>
      <c r="G15" s="6">
        <f>tActuals!O24</f>
        <v>-471001.97854523378</v>
      </c>
      <c r="H15" s="6">
        <f>tActuals!P24</f>
        <v>-350680.59912589804</v>
      </c>
      <c r="I15" s="6">
        <f>tActuals!Q24</f>
        <v>-417497.95233051444</v>
      </c>
      <c r="J15" s="6">
        <f>tActuals!R24</f>
        <v>-709864.75192799023</v>
      </c>
      <c r="K15" s="6">
        <f>tActuals!S24</f>
        <v>-666382.09423071682</v>
      </c>
      <c r="L15" s="6">
        <f>tActuals!T24</f>
        <v>-710725.16558133706</v>
      </c>
      <c r="M15" s="6">
        <f>tActuals!U24</f>
        <v>-672713.9324187648</v>
      </c>
      <c r="N15" s="6">
        <f>tActuals!V24</f>
        <v>-404217.34012763639</v>
      </c>
      <c r="O15" s="6">
        <f>tActuals!W24</f>
        <v>-535002.48900314141</v>
      </c>
      <c r="P15" s="6">
        <f>tActuals!X24</f>
        <v>-651196.9747210202</v>
      </c>
      <c r="Q15" s="6">
        <f>tActuals!Y24</f>
        <v>-492802.62487567309</v>
      </c>
      <c r="R15" s="6">
        <f>tActuals!Z24</f>
        <v>-524343.77136082225</v>
      </c>
      <c r="S15" s="6">
        <f>tActuals!AA24</f>
        <v>-471907.48842224921</v>
      </c>
    </row>
    <row r="16" spans="1:20" x14ac:dyDescent="0.25">
      <c r="A16" t="str">
        <f>tActuals!I25</f>
        <v xml:space="preserve">WAREHOUSE </v>
      </c>
      <c r="B16" s="6">
        <f>tActuals!J25</f>
        <v>-1470207.5748717913</v>
      </c>
      <c r="C16" s="6">
        <f>tActuals!K25</f>
        <v>-1932725.4307341292</v>
      </c>
      <c r="D16" s="6">
        <f>tActuals!L25</f>
        <v>-2446516.2337589473</v>
      </c>
      <c r="E16" s="6">
        <f>tActuals!M25</f>
        <v>-2307060.6568676503</v>
      </c>
      <c r="F16" s="6">
        <f>tActuals!N25</f>
        <v>-2092614.7626787613</v>
      </c>
      <c r="G16" s="6">
        <f>tActuals!O25</f>
        <v>-1618297.103107024</v>
      </c>
      <c r="H16" s="6">
        <f>tActuals!P25</f>
        <v>-1227654.3623487127</v>
      </c>
      <c r="I16" s="6">
        <f>tActuals!Q25</f>
        <v>-1435278.968607926</v>
      </c>
      <c r="J16" s="6">
        <f>tActuals!R25</f>
        <v>-2829668.0311388834</v>
      </c>
      <c r="K16" s="6">
        <f>tActuals!S25</f>
        <v>-2625300.9409412681</v>
      </c>
      <c r="L16" s="6">
        <f>tActuals!T25</f>
        <v>-2833429.9650960444</v>
      </c>
      <c r="M16" s="6">
        <f>tActuals!U25</f>
        <v>-2614443.6068102433</v>
      </c>
      <c r="N16" s="6">
        <f>tActuals!V25</f>
        <v>-1830023.9135537171</v>
      </c>
      <c r="O16" s="6">
        <f>tActuals!W25</f>
        <v>-2405737.6774740806</v>
      </c>
      <c r="P16" s="6">
        <f>tActuals!X25</f>
        <v>-2768479.8280276647</v>
      </c>
      <c r="Q16" s="6">
        <f>tActuals!Y25</f>
        <v>-2084666.5777848272</v>
      </c>
      <c r="R16" s="6">
        <f>tActuals!Z25</f>
        <v>-2202174.6291354145</v>
      </c>
      <c r="S16" s="6">
        <f>tActuals!AA25</f>
        <v>-1982751.8174181338</v>
      </c>
    </row>
    <row r="17" spans="1:19" x14ac:dyDescent="0.25">
      <c r="A17" t="str">
        <f>tActuals!I26</f>
        <v>Distribution (Different Carriers)</v>
      </c>
      <c r="B17" s="6">
        <f>tActuals!J26</f>
        <v>-2543367.9942725478</v>
      </c>
      <c r="C17" s="6">
        <f>tActuals!K26</f>
        <v>-3367126.0614075279</v>
      </c>
      <c r="D17" s="6">
        <f>tActuals!L26</f>
        <v>-4541273.1791659035</v>
      </c>
      <c r="E17" s="6">
        <f>tActuals!M26</f>
        <v>-4159371.2398202647</v>
      </c>
      <c r="F17" s="6">
        <f>tActuals!N26</f>
        <v>-3748647.2542714346</v>
      </c>
      <c r="G17" s="6">
        <f>tActuals!O26</f>
        <v>-2917515.752655949</v>
      </c>
      <c r="H17" s="6">
        <f>tActuals!P26</f>
        <v>-2140880.4458391913</v>
      </c>
      <c r="I17" s="6">
        <f>tActuals!Q26</f>
        <v>-2608054.5929596364</v>
      </c>
      <c r="J17" s="6">
        <f>tActuals!R26</f>
        <v>-4996800.533738289</v>
      </c>
      <c r="K17" s="6">
        <f>tActuals!S26</f>
        <v>-4648491.5434395829</v>
      </c>
      <c r="L17" s="6">
        <f>tActuals!T26</f>
        <v>-4971882.1149100009</v>
      </c>
      <c r="M17" s="6">
        <f>tActuals!U26</f>
        <v>-4596069.2711621691</v>
      </c>
      <c r="N17" s="6">
        <f>tActuals!V26</f>
        <v>-2778072.4982260326</v>
      </c>
      <c r="O17" s="6">
        <f>tActuals!W26</f>
        <v>-3677847.7712706476</v>
      </c>
      <c r="P17" s="6">
        <f>tActuals!X26</f>
        <v>-4284234.8750721337</v>
      </c>
      <c r="Q17" s="6">
        <f>tActuals!Y26</f>
        <v>-3178369.075623937</v>
      </c>
      <c r="R17" s="6">
        <f>tActuals!Z26</f>
        <v>-3385070.5480162837</v>
      </c>
      <c r="S17" s="6">
        <f>tActuals!AA26</f>
        <v>-3050680.7288258751</v>
      </c>
    </row>
    <row r="18" spans="1:19" x14ac:dyDescent="0.25">
      <c r="A18" t="str">
        <f>tActuals!I27</f>
        <v>Distribution (Package Material)</v>
      </c>
      <c r="B18" s="6">
        <f>tActuals!J27</f>
        <v>-154319.04551857413</v>
      </c>
      <c r="C18" s="6">
        <f>tActuals!K27</f>
        <v>-138813.11712647995</v>
      </c>
      <c r="D18" s="6">
        <f>tActuals!L27</f>
        <v>-181299.37930454346</v>
      </c>
      <c r="E18" s="6">
        <f>tActuals!M27</f>
        <v>-177292.37985036781</v>
      </c>
      <c r="F18" s="6">
        <f>tActuals!N27</f>
        <v>-165542.04224487388</v>
      </c>
      <c r="G18" s="6">
        <f>tActuals!O27</f>
        <v>-180245.45721077503</v>
      </c>
      <c r="H18" s="6">
        <f>tActuals!P27</f>
        <v>-147634.98828176677</v>
      </c>
      <c r="I18" s="6">
        <f>tActuals!Q27</f>
        <v>-106385.89161922825</v>
      </c>
      <c r="J18" s="6">
        <f>tActuals!R27</f>
        <v>-134150.11548120002</v>
      </c>
      <c r="K18" s="6">
        <f>tActuals!S27</f>
        <v>-155344.32453843046</v>
      </c>
      <c r="L18" s="6">
        <f>tActuals!T27</f>
        <v>-184420.57522695707</v>
      </c>
      <c r="M18" s="6">
        <f>tActuals!U27</f>
        <v>-175151.39560348619</v>
      </c>
      <c r="N18" s="6">
        <f>tActuals!V27</f>
        <v>-156074.8880086717</v>
      </c>
      <c r="O18" s="6">
        <f>tActuals!W27</f>
        <v>-140392.53312412635</v>
      </c>
      <c r="P18" s="6">
        <f>tActuals!X27</f>
        <v>-180733.35611055975</v>
      </c>
      <c r="Q18" s="6">
        <f>tActuals!Y27</f>
        <v>-163355.03418914252</v>
      </c>
      <c r="R18" s="6">
        <f>tActuals!Z27</f>
        <v>-185825.34447021439</v>
      </c>
      <c r="S18" s="6">
        <f>tActuals!AA27</f>
        <v>-148540.53177824614</v>
      </c>
    </row>
    <row r="19" spans="1:19" x14ac:dyDescent="0.25">
      <c r="A19" s="22" t="str">
        <f>tActuals!I28</f>
        <v>DISTRIBUTION</v>
      </c>
      <c r="B19" s="6">
        <f>tActuals!J28</f>
        <v>-2697687.0397911221</v>
      </c>
      <c r="C19" s="6">
        <f>tActuals!K28</f>
        <v>-3505939.1785340076</v>
      </c>
      <c r="D19" s="6">
        <f>tActuals!L28</f>
        <v>-4722572.5584704466</v>
      </c>
      <c r="E19" s="6">
        <f>tActuals!M28</f>
        <v>-4336663.6196706323</v>
      </c>
      <c r="F19" s="6">
        <f>tActuals!N28</f>
        <v>-3914189.2965163086</v>
      </c>
      <c r="G19" s="6">
        <f>tActuals!O28</f>
        <v>-3097761.209866724</v>
      </c>
      <c r="H19" s="6">
        <f>tActuals!P28</f>
        <v>-2288515.4341209582</v>
      </c>
      <c r="I19" s="6">
        <f>tActuals!Q28</f>
        <v>-2714440.4845788646</v>
      </c>
      <c r="J19" s="6">
        <f>tActuals!R28</f>
        <v>-5130950.6492194887</v>
      </c>
      <c r="K19" s="6">
        <f>tActuals!S28</f>
        <v>-4803835.8679780131</v>
      </c>
      <c r="L19" s="6">
        <f>tActuals!T28</f>
        <v>-5156302.6901369579</v>
      </c>
      <c r="M19" s="6">
        <f>tActuals!U28</f>
        <v>-4771220.6667656554</v>
      </c>
      <c r="N19" s="6">
        <f>tActuals!V28</f>
        <v>-2934147.3862347044</v>
      </c>
      <c r="O19" s="6">
        <f>tActuals!W28</f>
        <v>-3818240.3043947741</v>
      </c>
      <c r="P19" s="6">
        <f>tActuals!X28</f>
        <v>-4464968.2311826935</v>
      </c>
      <c r="Q19" s="6">
        <f>tActuals!Y28</f>
        <v>-3341724.1098130792</v>
      </c>
      <c r="R19" s="6">
        <f>tActuals!Z28</f>
        <v>-3570895.8924864982</v>
      </c>
      <c r="S19" s="6">
        <f>tActuals!AA28</f>
        <v>-3199221.2606041213</v>
      </c>
    </row>
    <row r="20" spans="1:19" x14ac:dyDescent="0.25">
      <c r="A20" t="str">
        <f>tActuals!I29</f>
        <v>VARIABLE COSTS</v>
      </c>
      <c r="B20" s="6">
        <f>tActuals!J29</f>
        <v>-4552828.9357856186</v>
      </c>
      <c r="C20" s="6">
        <f>tActuals!K29</f>
        <v>-5935552.609975053</v>
      </c>
      <c r="D20" s="6">
        <f>tActuals!L29</f>
        <v>-7861225.7754056379</v>
      </c>
      <c r="E20" s="6">
        <f>tActuals!M29</f>
        <v>-7273113.4588477751</v>
      </c>
      <c r="F20" s="6">
        <f>tActuals!N29</f>
        <v>-6585840.7822112367</v>
      </c>
      <c r="G20" s="6">
        <f>tActuals!O29</f>
        <v>-5187060.2915189825</v>
      </c>
      <c r="H20" s="6">
        <f>tActuals!P29</f>
        <v>-3866850.3955955692</v>
      </c>
      <c r="I20" s="6">
        <f>tActuals!Q29</f>
        <v>-4567217.4055173043</v>
      </c>
      <c r="J20" s="6">
        <f>tActuals!R29</f>
        <v>-8670483.4322863612</v>
      </c>
      <c r="K20" s="6">
        <f>tActuals!S29</f>
        <v>-8095518.9031499978</v>
      </c>
      <c r="L20" s="6">
        <f>tActuals!T29</f>
        <v>-8700457.8208143394</v>
      </c>
      <c r="M20" s="6">
        <f>tActuals!U29</f>
        <v>-8058378.2059946638</v>
      </c>
      <c r="N20" s="6">
        <f>tActuals!V29</f>
        <v>-5168388.6399160577</v>
      </c>
      <c r="O20" s="6">
        <f>tActuals!W29</f>
        <v>-6758980.4708719961</v>
      </c>
      <c r="P20" s="6">
        <f>tActuals!X29</f>
        <v>-7884645.0339313783</v>
      </c>
      <c r="Q20" s="6">
        <f>tActuals!Y29</f>
        <v>-5919193.3124735793</v>
      </c>
      <c r="R20" s="6">
        <f>tActuals!Z29</f>
        <v>-6297414.2929827347</v>
      </c>
      <c r="S20" s="6">
        <f>tActuals!AA29</f>
        <v>-5653880.566444505</v>
      </c>
    </row>
    <row r="21" spans="1:19" x14ac:dyDescent="0.25">
      <c r="A21" t="str">
        <f>tActuals!I30</f>
        <v>CONTRIBUTION PROFIT</v>
      </c>
      <c r="B21" s="6">
        <f>tActuals!J30</f>
        <v>2350783.007031939</v>
      </c>
      <c r="C21" s="6">
        <f>tActuals!K30</f>
        <v>3209154.3958599791</v>
      </c>
      <c r="D21" s="6">
        <f>tActuals!L30</f>
        <v>4580383.2658436298</v>
      </c>
      <c r="E21" s="6">
        <f>tActuals!M30</f>
        <v>4451142.2131787175</v>
      </c>
      <c r="F21" s="6">
        <f>tActuals!N30</f>
        <v>3959340.6962441802</v>
      </c>
      <c r="G21" s="6">
        <f>tActuals!O30</f>
        <v>3207221.3323162291</v>
      </c>
      <c r="H21" s="6">
        <f>tActuals!P30</f>
        <v>2415292.9187365491</v>
      </c>
      <c r="I21" s="6">
        <f>tActuals!Q30</f>
        <v>3001369.3946828935</v>
      </c>
      <c r="J21" s="6">
        <f>tActuals!R30</f>
        <v>4490092.1016195025</v>
      </c>
      <c r="K21" s="6">
        <f>tActuals!S30</f>
        <v>3993256.0895537231</v>
      </c>
      <c r="L21" s="6">
        <f>tActuals!T30</f>
        <v>4354747.0218489263</v>
      </c>
      <c r="M21" s="6">
        <f>tActuals!U30</f>
        <v>4148627.5203850698</v>
      </c>
      <c r="N21" s="6">
        <f>tActuals!V30</f>
        <v>1921300.4405821273</v>
      </c>
      <c r="O21" s="6">
        <f>tActuals!W30</f>
        <v>2622726.6242511235</v>
      </c>
      <c r="P21" s="6">
        <f>tActuals!X30</f>
        <v>3556920.1827506423</v>
      </c>
      <c r="Q21" s="6">
        <f>tActuals!Y30</f>
        <v>2786339.8818982849</v>
      </c>
      <c r="R21" s="6">
        <f>tActuals!Z30</f>
        <v>3015256.9139298499</v>
      </c>
      <c r="S21" s="6">
        <f>tActuals!AA30</f>
        <v>2639969.6198145915</v>
      </c>
    </row>
    <row r="22" spans="1:19" x14ac:dyDescent="0.25">
      <c r="A22" t="str">
        <f>tActuals!I31</f>
        <v>Labour (Bonuses)</v>
      </c>
      <c r="B22" s="6">
        <f>tActuals!J31</f>
        <v>-407.01102750000007</v>
      </c>
      <c r="C22" s="6">
        <f>tActuals!K31</f>
        <v>-429.9827298921</v>
      </c>
      <c r="D22" s="6">
        <f>tActuals!L31</f>
        <v>-15309.256958587517</v>
      </c>
      <c r="E22" s="6">
        <f>tActuals!M31</f>
        <v>-582.63859500000012</v>
      </c>
      <c r="F22" s="6">
        <f>tActuals!N31</f>
        <v>-637.2573900000001</v>
      </c>
      <c r="G22" s="6">
        <f>tActuals!O31</f>
        <v>-9051.0420000000013</v>
      </c>
      <c r="H22" s="6">
        <f>tActuals!P31</f>
        <v>-379.34589</v>
      </c>
      <c r="I22" s="6">
        <f>tActuals!Q31</f>
        <v>-890.07291450000002</v>
      </c>
      <c r="J22" s="6">
        <f>tActuals!R31</f>
        <v>-26666.753190000007</v>
      </c>
      <c r="K22" s="6">
        <f>tActuals!S31</f>
        <v>-527.99439000000007</v>
      </c>
      <c r="L22" s="6">
        <f>tActuals!T31</f>
        <v>-441.87990000000008</v>
      </c>
      <c r="M22" s="6">
        <f>tActuals!U31</f>
        <v>-89019.466333875011</v>
      </c>
      <c r="N22" s="6">
        <f>tActuals!V31</f>
        <v>-415.55055742033682</v>
      </c>
      <c r="O22" s="6">
        <f>tActuals!W31</f>
        <v>-434.61418857232928</v>
      </c>
      <c r="P22" s="6">
        <f>tActuals!X31</f>
        <v>-20457.160535096336</v>
      </c>
      <c r="Q22" s="6">
        <f>tActuals!Y31</f>
        <v>-769.53963193034656</v>
      </c>
      <c r="R22" s="6">
        <f>tActuals!Z31</f>
        <v>-580.92697704545765</v>
      </c>
      <c r="S22" s="6">
        <f>tActuals!AA31</f>
        <v>-8439.6192744227756</v>
      </c>
    </row>
    <row r="23" spans="1:19" x14ac:dyDescent="0.25">
      <c r="A23" t="str">
        <f>tActuals!I32</f>
        <v>Labour (Salaries)</v>
      </c>
      <c r="B23" s="6">
        <f>tActuals!J32</f>
        <v>-1523819.5431297973</v>
      </c>
      <c r="C23" s="6">
        <f>tActuals!K32</f>
        <v>-1531111.157527446</v>
      </c>
      <c r="D23" s="6">
        <f>tActuals!L32</f>
        <v>-1521637.4677494406</v>
      </c>
      <c r="E23" s="6">
        <f>tActuals!M32</f>
        <v>-1512990.6429420649</v>
      </c>
      <c r="F23" s="6">
        <f>tActuals!N32</f>
        <v>-1508750.0401583889</v>
      </c>
      <c r="G23" s="6">
        <f>tActuals!O32</f>
        <v>-1508440.1684676786</v>
      </c>
      <c r="H23" s="6">
        <f>tActuals!P32</f>
        <v>-1507887.838324459</v>
      </c>
      <c r="I23" s="6">
        <f>tActuals!Q32</f>
        <v>-1511575.2885234079</v>
      </c>
      <c r="J23" s="6">
        <f>tActuals!R32</f>
        <v>-1540696.4491838852</v>
      </c>
      <c r="K23" s="6">
        <f>tActuals!S32</f>
        <v>-1547838.7569218581</v>
      </c>
      <c r="L23" s="6">
        <f>tActuals!T32</f>
        <v>-1548569.43552806</v>
      </c>
      <c r="M23" s="6">
        <f>tActuals!U32</f>
        <v>-1550788.6754879931</v>
      </c>
      <c r="N23" s="6">
        <f>tActuals!V32</f>
        <v>-1542025.3909785931</v>
      </c>
      <c r="O23" s="6">
        <f>tActuals!W32</f>
        <v>-1561231.0370585187</v>
      </c>
      <c r="P23" s="6">
        <f>tActuals!X32</f>
        <v>-1543421.3917061251</v>
      </c>
      <c r="Q23" s="6">
        <f>tActuals!Y32</f>
        <v>-1559364.2245044285</v>
      </c>
      <c r="R23" s="6">
        <f>tActuals!Z32</f>
        <v>-1549069.9559610896</v>
      </c>
      <c r="S23" s="6">
        <f>tActuals!AA32</f>
        <v>-1552312.410868014</v>
      </c>
    </row>
    <row r="24" spans="1:19" x14ac:dyDescent="0.25">
      <c r="A24" t="str">
        <f>tActuals!I33</f>
        <v>Labour (Social Contributions)</v>
      </c>
      <c r="B24" s="6">
        <f>tActuals!J33</f>
        <v>-30909.524543259562</v>
      </c>
      <c r="C24" s="6">
        <f>tActuals!K33</f>
        <v>-31057.429415066876</v>
      </c>
      <c r="D24" s="6">
        <f>tActuals!L33</f>
        <v>-30865.262797944328</v>
      </c>
      <c r="E24" s="6">
        <f>tActuals!M33</f>
        <v>-30689.868510077478</v>
      </c>
      <c r="F24" s="6">
        <f>tActuals!N33</f>
        <v>-30603.85109652533</v>
      </c>
      <c r="G24" s="6">
        <f>tActuals!O33</f>
        <v>-30597.565584128239</v>
      </c>
      <c r="H24" s="6">
        <f>tActuals!P33</f>
        <v>-30586.361985779065</v>
      </c>
      <c r="I24" s="6">
        <f>tActuals!Q33</f>
        <v>-30661.159118379408</v>
      </c>
      <c r="J24" s="6">
        <f>tActuals!R33</f>
        <v>-31251.859791711402</v>
      </c>
      <c r="K24" s="6">
        <f>tActuals!S33</f>
        <v>-31396.736091085371</v>
      </c>
      <c r="L24" s="6">
        <f>tActuals!T33</f>
        <v>-31411.557352837441</v>
      </c>
      <c r="M24" s="6">
        <f>tActuals!U33</f>
        <v>-31456.572953482682</v>
      </c>
      <c r="N24" s="6">
        <f>tActuals!V33</f>
        <v>-31278.816368824017</v>
      </c>
      <c r="O24" s="6">
        <f>tActuals!W33</f>
        <v>-31668.388343768856</v>
      </c>
      <c r="P24" s="6">
        <f>tActuals!X33</f>
        <v>-31307.133185565603</v>
      </c>
      <c r="Q24" s="6">
        <f>tActuals!Y33</f>
        <v>-31630.52146594958</v>
      </c>
      <c r="R24" s="6">
        <f>tActuals!Z33</f>
        <v>-31421.710030481503</v>
      </c>
      <c r="S24" s="6">
        <f>tActuals!AA33</f>
        <v>-31487.480770841059</v>
      </c>
    </row>
    <row r="25" spans="1:19" x14ac:dyDescent="0.25">
      <c r="A25" s="22" t="str">
        <f>tActuals!I34</f>
        <v>LABOUR</v>
      </c>
      <c r="B25" s="6">
        <f>tActuals!J34</f>
        <v>-1555136.0787005569</v>
      </c>
      <c r="C25" s="6">
        <f>tActuals!K34</f>
        <v>-1562598.569672405</v>
      </c>
      <c r="D25" s="6">
        <f>tActuals!L34</f>
        <v>-1567811.9875059724</v>
      </c>
      <c r="E25" s="6">
        <f>tActuals!M34</f>
        <v>-1544263.1500471423</v>
      </c>
      <c r="F25" s="6">
        <f>tActuals!N34</f>
        <v>-1539991.1486449142</v>
      </c>
      <c r="G25" s="6">
        <f>tActuals!O34</f>
        <v>-1548088.7760518068</v>
      </c>
      <c r="H25" s="6">
        <f>tActuals!P34</f>
        <v>-1538853.5462002382</v>
      </c>
      <c r="I25" s="6">
        <f>tActuals!Q34</f>
        <v>-1543126.5205562874</v>
      </c>
      <c r="J25" s="6">
        <f>tActuals!R34</f>
        <v>-1598615.0621655968</v>
      </c>
      <c r="K25" s="6">
        <f>tActuals!S34</f>
        <v>-1579763.4874029434</v>
      </c>
      <c r="L25" s="6">
        <f>tActuals!T34</f>
        <v>-1580422.8727808974</v>
      </c>
      <c r="M25" s="6">
        <f>tActuals!U34</f>
        <v>-1671264.7147753506</v>
      </c>
      <c r="N25" s="6">
        <f>tActuals!V34</f>
        <v>-1573719.7579048376</v>
      </c>
      <c r="O25" s="6">
        <f>tActuals!W34</f>
        <v>-1593334.03959086</v>
      </c>
      <c r="P25" s="6">
        <f>tActuals!X34</f>
        <v>-1595185.6854267872</v>
      </c>
      <c r="Q25" s="6">
        <f>tActuals!Y34</f>
        <v>-1591764.2856023083</v>
      </c>
      <c r="R25" s="6">
        <f>tActuals!Z34</f>
        <v>-1581072.5929686164</v>
      </c>
      <c r="S25" s="6">
        <f>tActuals!AA34</f>
        <v>-1592239.5109132777</v>
      </c>
    </row>
    <row r="26" spans="1:19" x14ac:dyDescent="0.25">
      <c r="A26" t="str">
        <f>tActuals!I35</f>
        <v>Marketing (Flyers)</v>
      </c>
      <c r="B26" s="6">
        <f>tActuals!J35</f>
        <v>-77705.212594625016</v>
      </c>
      <c r="C26" s="6">
        <f>tActuals!K35</f>
        <v>-102457.95750548822</v>
      </c>
      <c r="D26" s="6">
        <f>tActuals!L35</f>
        <v>-122105.30944693858</v>
      </c>
      <c r="E26" s="6">
        <f>tActuals!M35</f>
        <v>-131622.64395240572</v>
      </c>
      <c r="F26" s="6">
        <f>tActuals!N35</f>
        <v>-165518.77072500001</v>
      </c>
      <c r="G26" s="6">
        <f>tActuals!O35</f>
        <v>-157636.92450000002</v>
      </c>
      <c r="H26" s="6">
        <f>tActuals!P35</f>
        <v>-149852.46899700005</v>
      </c>
      <c r="I26" s="6">
        <f>tActuals!Q35</f>
        <v>-136552.84107616253</v>
      </c>
      <c r="J26" s="6">
        <f>tActuals!R35</f>
        <v>-133810.25790000003</v>
      </c>
      <c r="K26" s="6">
        <f>tActuals!S35</f>
        <v>-374669.91324551264</v>
      </c>
      <c r="L26" s="6">
        <f>tActuals!T35</f>
        <v>-263362.75371374527</v>
      </c>
      <c r="M26" s="6">
        <f>tActuals!U35</f>
        <v>-108238.57164697502</v>
      </c>
      <c r="N26" s="6">
        <f>tActuals!V35</f>
        <v>-77803.449273000006</v>
      </c>
      <c r="O26" s="6">
        <f>tActuals!W35</f>
        <v>-90917.016300000018</v>
      </c>
      <c r="P26" s="6">
        <f>tActuals!X35</f>
        <v>-108164.70699812661</v>
      </c>
      <c r="Q26" s="6">
        <f>tActuals!Y35</f>
        <v>-142914.88007725426</v>
      </c>
      <c r="R26" s="6">
        <f>tActuals!Z35</f>
        <v>-133451.56798714478</v>
      </c>
      <c r="S26" s="6">
        <f>tActuals!AA35</f>
        <v>-144759.45764610005</v>
      </c>
    </row>
    <row r="27" spans="1:19" x14ac:dyDescent="0.25">
      <c r="A27" t="str">
        <f>tActuals!I36</f>
        <v>Marketing (Google)</v>
      </c>
      <c r="B27" s="6">
        <f>tActuals!J36</f>
        <v>-358802.71282625006</v>
      </c>
      <c r="C27" s="6">
        <f>tActuals!K36</f>
        <v>-376107.33455077809</v>
      </c>
      <c r="D27" s="6">
        <f>tActuals!L36</f>
        <v>-445681.77704020828</v>
      </c>
      <c r="E27" s="6">
        <f>tActuals!M36</f>
        <v>-475436.64132128179</v>
      </c>
      <c r="F27" s="6">
        <f>tActuals!N36</f>
        <v>-384962.22418500006</v>
      </c>
      <c r="G27" s="6">
        <f>tActuals!O36</f>
        <v>-366630.68970000005</v>
      </c>
      <c r="H27" s="6">
        <f>tActuals!P36</f>
        <v>-268498.33129350003</v>
      </c>
      <c r="I27" s="6">
        <f>tActuals!Q36</f>
        <v>-227638.34806683435</v>
      </c>
      <c r="J27" s="6">
        <f>tActuals!R36</f>
        <v>-413490.11320277973</v>
      </c>
      <c r="K27" s="6">
        <f>tActuals!S36</f>
        <v>-381830.94645313761</v>
      </c>
      <c r="L27" s="6">
        <f>tActuals!T36</f>
        <v>-394643.55968815665</v>
      </c>
      <c r="M27" s="6">
        <f>tActuals!U36</f>
        <v>-372706.14279112499</v>
      </c>
      <c r="N27" s="6">
        <f>tActuals!V36</f>
        <v>-359256.31929000001</v>
      </c>
      <c r="O27" s="6">
        <f>tActuals!W36</f>
        <v>-369330.92676575581</v>
      </c>
      <c r="P27" s="6">
        <f>tActuals!X36</f>
        <v>-425180.18966605875</v>
      </c>
      <c r="Q27" s="6">
        <f>tActuals!Y36</f>
        <v>-358492.33783221879</v>
      </c>
      <c r="R27" s="6">
        <f>tActuals!Z36</f>
        <v>-303859.33126635099</v>
      </c>
      <c r="S27" s="6">
        <f>tActuals!AA36</f>
        <v>-286833.30015779997</v>
      </c>
    </row>
    <row r="28" spans="1:19" x14ac:dyDescent="0.25">
      <c r="A28" t="str">
        <f>tActuals!I37</f>
        <v>Marketing (Meta)</v>
      </c>
      <c r="B28" s="6">
        <f>tActuals!J37</f>
        <v>-109605.29643112503</v>
      </c>
      <c r="C28" s="6">
        <f>tActuals!K37</f>
        <v>-118609.10477650013</v>
      </c>
      <c r="D28" s="6">
        <f>tActuals!L37</f>
        <v>-123117.26695895618</v>
      </c>
      <c r="E28" s="6">
        <f>tActuals!M37</f>
        <v>-116028.82883361628</v>
      </c>
      <c r="F28" s="6">
        <f>tActuals!N37</f>
        <v>-97509.604500000016</v>
      </c>
      <c r="G28" s="6">
        <f>tActuals!O37</f>
        <v>-92866.290000000023</v>
      </c>
      <c r="H28" s="6">
        <f>tActuals!P37</f>
        <v>-84998.736900000018</v>
      </c>
      <c r="I28" s="6">
        <f>tActuals!Q37</f>
        <v>-96952.952550162518</v>
      </c>
      <c r="J28" s="6">
        <f>tActuals!R37</f>
        <v>-156020.26752300485</v>
      </c>
      <c r="K28" s="6">
        <f>tActuals!S37</f>
        <v>-168444.87350460002</v>
      </c>
      <c r="L28" s="6">
        <f>tActuals!T37</f>
        <v>-176087.59613760217</v>
      </c>
      <c r="M28" s="6">
        <f>tActuals!U37</f>
        <v>-142666.17608650003</v>
      </c>
      <c r="N28" s="6">
        <f>tActuals!V37</f>
        <v>-120743.03726100002</v>
      </c>
      <c r="O28" s="6">
        <f>tActuals!W37</f>
        <v>-128562.52376125654</v>
      </c>
      <c r="P28" s="6">
        <f>tActuals!X37</f>
        <v>-132254.70154772289</v>
      </c>
      <c r="Q28" s="6">
        <f>tActuals!Y37</f>
        <v>-131225.52788252197</v>
      </c>
      <c r="R28" s="6">
        <f>tActuals!Z37</f>
        <v>-113819.14772511229</v>
      </c>
      <c r="S28" s="6">
        <f>tActuals!AA37</f>
        <v>-108185.12812800003</v>
      </c>
    </row>
    <row r="29" spans="1:19" x14ac:dyDescent="0.25">
      <c r="A29" t="str">
        <f>tActuals!I38</f>
        <v>Marketing (Print)</v>
      </c>
      <c r="B29" s="6">
        <f>tActuals!J38</f>
        <v>-3866.8847250000008</v>
      </c>
      <c r="C29" s="6">
        <f>tActuals!K38</f>
        <v>-4994.0684132232964</v>
      </c>
      <c r="D29" s="6">
        <f>tActuals!L38</f>
        <v>-6241.18</v>
      </c>
      <c r="E29" s="6">
        <f>tActuals!M38</f>
        <v>-10642.356769379154</v>
      </c>
      <c r="F29" s="6">
        <f>tActuals!N38</f>
        <v>-11738.239645000001</v>
      </c>
      <c r="G29" s="6">
        <f>tActuals!O38</f>
        <v>-10026.894900000003</v>
      </c>
      <c r="H29" s="6">
        <f>tActuals!P38</f>
        <v>-4764.0300592500016</v>
      </c>
      <c r="I29" s="6">
        <f>tActuals!Q38</f>
        <v>-2764.8399657725004</v>
      </c>
      <c r="J29" s="6">
        <f>tActuals!R38</f>
        <v>-25028.068353701921</v>
      </c>
      <c r="K29" s="6">
        <f>tActuals!S38</f>
        <v>-27633.961081650003</v>
      </c>
      <c r="L29" s="6">
        <f>tActuals!T38</f>
        <v>-16961.501645555207</v>
      </c>
      <c r="M29" s="6">
        <f>tActuals!U38</f>
        <v>-10536.490884562501</v>
      </c>
      <c r="N29" s="6">
        <f>tActuals!V38</f>
        <v>-2632.9842000000003</v>
      </c>
      <c r="O29" s="6">
        <f>tActuals!W38</f>
        <v>-2560.9757513725699</v>
      </c>
      <c r="P29" s="6">
        <f>tActuals!X38</f>
        <v>-2620.5616775250001</v>
      </c>
      <c r="Q29" s="6">
        <f>tActuals!Y38</f>
        <v>-3759.3345729041562</v>
      </c>
      <c r="R29" s="6">
        <f>tActuals!Z38</f>
        <v>-3757.0973813010005</v>
      </c>
      <c r="S29" s="6">
        <f>tActuals!AA38</f>
        <v>-3807.1657800000003</v>
      </c>
    </row>
    <row r="30" spans="1:19" x14ac:dyDescent="0.25">
      <c r="A30" t="str">
        <f>tActuals!I39</f>
        <v>Marketing (TV)</v>
      </c>
      <c r="B30" s="6">
        <f>tActuals!J39</f>
        <v>-5524.3312451250022</v>
      </c>
      <c r="C30" s="6">
        <f>tActuals!K39</f>
        <v>-9752.1445438394639</v>
      </c>
      <c r="D30" s="6">
        <f>tActuals!L39</f>
        <v>-15468.533423580548</v>
      </c>
      <c r="E30" s="6">
        <f>tActuals!M39</f>
        <v>-12906.135046685587</v>
      </c>
      <c r="F30" s="6">
        <f>tActuals!N39</f>
        <v>-11954.921000000002</v>
      </c>
      <c r="G30" s="6">
        <f>tActuals!O39</f>
        <v>-7698.0200000000013</v>
      </c>
      <c r="H30" s="6">
        <f>tActuals!P39</f>
        <v>-6521.4226247500019</v>
      </c>
      <c r="I30" s="6">
        <f>tActuals!Q39</f>
        <v>-3642.6022710000002</v>
      </c>
      <c r="J30" s="6">
        <f>tActuals!R39</f>
        <v>-16643.804933507563</v>
      </c>
      <c r="K30" s="6">
        <f>tActuals!S39</f>
        <v>-21757.433195987502</v>
      </c>
      <c r="L30" s="6">
        <f>tActuals!T39</f>
        <v>-19240.915793935452</v>
      </c>
      <c r="M30" s="6">
        <f>tActuals!U39</f>
        <v>-10923.126623750002</v>
      </c>
      <c r="N30" s="6">
        <f>tActuals!V39</f>
        <v>-12718.715229000001</v>
      </c>
      <c r="O30" s="6">
        <f>tActuals!W39</f>
        <v>-13651.578459708369</v>
      </c>
      <c r="P30" s="6">
        <f>tActuals!X39</f>
        <v>-16336.879192012504</v>
      </c>
      <c r="Q30" s="6">
        <f>tActuals!Y39</f>
        <v>-15475.386891739785</v>
      </c>
      <c r="R30" s="6">
        <f>tActuals!Z39</f>
        <v>-11421.3553828605</v>
      </c>
      <c r="S30" s="6">
        <f>tActuals!AA39</f>
        <v>-12351.666690000002</v>
      </c>
    </row>
    <row r="31" spans="1:19" x14ac:dyDescent="0.25">
      <c r="A31" s="22" t="str">
        <f>tActuals!I40</f>
        <v>MARKETING</v>
      </c>
      <c r="B31" s="6">
        <f>tActuals!J40</f>
        <v>-555504.43782212515</v>
      </c>
      <c r="C31" s="6">
        <f>tActuals!K40</f>
        <v>-611920.60978982924</v>
      </c>
      <c r="D31" s="6">
        <f>tActuals!L40</f>
        <v>-712614.06686968368</v>
      </c>
      <c r="E31" s="6">
        <f>tActuals!M40</f>
        <v>-746636.60592336848</v>
      </c>
      <c r="F31" s="6">
        <f>tActuals!N40</f>
        <v>-671683.76005500008</v>
      </c>
      <c r="G31" s="6">
        <f>tActuals!O40</f>
        <v>-634858.81910000008</v>
      </c>
      <c r="H31" s="6">
        <f>tActuals!P40</f>
        <v>-514634.98987450008</v>
      </c>
      <c r="I31" s="6">
        <f>tActuals!Q40</f>
        <v>-467551.58392993192</v>
      </c>
      <c r="J31" s="6">
        <f>tActuals!R40</f>
        <v>-744992.51191299409</v>
      </c>
      <c r="K31" s="6">
        <f>tActuals!S40</f>
        <v>-974337.12748088769</v>
      </c>
      <c r="L31" s="6">
        <f>tActuals!T40</f>
        <v>-870296.32697899465</v>
      </c>
      <c r="M31" s="6">
        <f>tActuals!U40</f>
        <v>-645070.5080329125</v>
      </c>
      <c r="N31" s="6">
        <f>tActuals!V40</f>
        <v>-573154.50525299995</v>
      </c>
      <c r="O31" s="6">
        <f>tActuals!W40</f>
        <v>-605023.02103809325</v>
      </c>
      <c r="P31" s="6">
        <f>tActuals!X40</f>
        <v>-684557.03908144578</v>
      </c>
      <c r="Q31" s="6">
        <f>tActuals!Y40</f>
        <v>-651867.46725663892</v>
      </c>
      <c r="R31" s="6">
        <f>tActuals!Z40</f>
        <v>-566308.49974276952</v>
      </c>
      <c r="S31" s="6">
        <f>tActuals!AA40</f>
        <v>-555936.71840190014</v>
      </c>
    </row>
    <row r="32" spans="1:19" x14ac:dyDescent="0.25">
      <c r="A32" s="22" t="str">
        <f>tActuals!I41</f>
        <v xml:space="preserve">RENT </v>
      </c>
      <c r="B32" s="6">
        <f>tActuals!J41</f>
        <v>-97865.595786750011</v>
      </c>
      <c r="C32" s="6">
        <f>tActuals!K41</f>
        <v>-97865.595786750011</v>
      </c>
      <c r="D32" s="6">
        <f>tActuals!L41</f>
        <v>-97605.446573250039</v>
      </c>
      <c r="E32" s="6">
        <f>tActuals!M41</f>
        <v>-97605.446573250039</v>
      </c>
      <c r="F32" s="6">
        <f>tActuals!N41</f>
        <v>-97605.446573250039</v>
      </c>
      <c r="G32" s="6">
        <f>tActuals!O41</f>
        <v>-97610.712100000004</v>
      </c>
      <c r="H32" s="6">
        <f>tActuals!P41</f>
        <v>-97793.228500000027</v>
      </c>
      <c r="I32" s="6">
        <f>tActuals!Q41</f>
        <v>-97961.04340000001</v>
      </c>
      <c r="J32" s="6">
        <f>tActuals!R41</f>
        <v>-97755.343400000012</v>
      </c>
      <c r="K32" s="6">
        <f>tActuals!S41</f>
        <v>-97755.343400000012</v>
      </c>
      <c r="L32" s="6">
        <f>tActuals!T41</f>
        <v>-97755.343400000012</v>
      </c>
      <c r="M32" s="6">
        <f>tActuals!U41</f>
        <v>-97755.343400000012</v>
      </c>
      <c r="N32" s="6">
        <f>tActuals!V41</f>
        <v>-96777.789966000011</v>
      </c>
      <c r="O32" s="6">
        <f>tActuals!W41</f>
        <v>-96777.789966000011</v>
      </c>
      <c r="P32" s="6">
        <f>tActuals!X41</f>
        <v>-96777.789966000011</v>
      </c>
      <c r="Q32" s="6">
        <f>tActuals!Y41</f>
        <v>-96777.789966000011</v>
      </c>
      <c r="R32" s="6">
        <f>tActuals!Z41</f>
        <v>-96777.789966000011</v>
      </c>
      <c r="S32" s="6">
        <f>tActuals!AA41</f>
        <v>-96777.789966000011</v>
      </c>
    </row>
    <row r="33" spans="1:19" x14ac:dyDescent="0.25">
      <c r="A33" s="22" t="str">
        <f>tActuals!I42</f>
        <v xml:space="preserve">TRAVEL </v>
      </c>
      <c r="B33" s="6">
        <f>tActuals!J42</f>
        <v>-12827.642847250003</v>
      </c>
      <c r="C33" s="6">
        <f>tActuals!K42</f>
        <v>-8990.7802792500006</v>
      </c>
      <c r="D33" s="6">
        <f>tActuals!L42</f>
        <v>0</v>
      </c>
      <c r="E33" s="6">
        <f>tActuals!M42</f>
        <v>-3847.8000000000006</v>
      </c>
      <c r="F33" s="6">
        <f>tActuals!N42</f>
        <v>-7295.2231000000002</v>
      </c>
      <c r="G33" s="6">
        <f>tActuals!O42</f>
        <v>-7630.3810000000012</v>
      </c>
      <c r="H33" s="6">
        <f>tActuals!P42</f>
        <v>-10130.797600000002</v>
      </c>
      <c r="I33" s="6">
        <f>tActuals!Q42</f>
        <v>-1985.7673000000004</v>
      </c>
      <c r="J33" s="6">
        <f>tActuals!R42</f>
        <v>0</v>
      </c>
      <c r="K33" s="6">
        <f>tActuals!S42</f>
        <v>-10368.163300000002</v>
      </c>
      <c r="L33" s="6">
        <f>tActuals!T42</f>
        <v>-5253.4328000000014</v>
      </c>
      <c r="M33" s="6">
        <f>tActuals!U42</f>
        <v>-6869.5330000000013</v>
      </c>
      <c r="N33" s="6">
        <f>tActuals!V42</f>
        <v>-12843.859842000002</v>
      </c>
      <c r="O33" s="6">
        <f>tActuals!W42</f>
        <v>-9002.1466260000016</v>
      </c>
      <c r="P33" s="6">
        <f>tActuals!X42</f>
        <v>-674.07030900000018</v>
      </c>
      <c r="Q33" s="6">
        <f>tActuals!Y42</f>
        <v>-782.94744000000003</v>
      </c>
      <c r="R33" s="6">
        <f>tActuals!Z42</f>
        <v>-1103.4935010000002</v>
      </c>
      <c r="S33" s="6">
        <f>tActuals!AA42</f>
        <v>-4852.5611310000004</v>
      </c>
    </row>
    <row r="34" spans="1:19" x14ac:dyDescent="0.25">
      <c r="A34" t="str">
        <f>tActuals!I43</f>
        <v>Consulting (BCG, KPMG, etc.)</v>
      </c>
      <c r="B34" s="6">
        <f>tActuals!J43</f>
        <v>-11832.966279750002</v>
      </c>
      <c r="C34" s="6">
        <f>tActuals!K43</f>
        <v>-10668.467240750004</v>
      </c>
      <c r="D34" s="6">
        <f>tActuals!L43</f>
        <v>-18729.565800000004</v>
      </c>
      <c r="E34" s="6">
        <f>tActuals!M43</f>
        <v>-13879.426000000003</v>
      </c>
      <c r="F34" s="6">
        <f>tActuals!N43</f>
        <v>-6075.5310000000018</v>
      </c>
      <c r="G34" s="6">
        <f>tActuals!O43</f>
        <v>-16220.158900000004</v>
      </c>
      <c r="H34" s="6">
        <f>tActuals!P43</f>
        <v>-11514.541500000003</v>
      </c>
      <c r="I34" s="6">
        <f>tActuals!Q43</f>
        <v>-11156.684000000001</v>
      </c>
      <c r="J34" s="6">
        <f>tActuals!R43</f>
        <v>-13266.536800000002</v>
      </c>
      <c r="K34" s="6">
        <f>tActuals!S43</f>
        <v>-6528.4340000000011</v>
      </c>
      <c r="L34" s="6">
        <f>tActuals!T43</f>
        <v>-12028.489000000001</v>
      </c>
      <c r="M34" s="6">
        <f>tActuals!U43</f>
        <v>-31238.467240750007</v>
      </c>
      <c r="N34" s="6">
        <f>tActuals!V43</f>
        <v>-11847.925782000002</v>
      </c>
      <c r="O34" s="6">
        <f>tActuals!W43</f>
        <v>-8517.8596140000009</v>
      </c>
      <c r="P34" s="6">
        <f>tActuals!X43</f>
        <v>-2207.6099100000006</v>
      </c>
      <c r="Q34" s="6">
        <f>tActuals!Y43</f>
        <v>-7067.7178110000013</v>
      </c>
      <c r="R34" s="6">
        <f>tActuals!Z43</f>
        <v>-12834.947466000003</v>
      </c>
      <c r="S34" s="6">
        <f>tActuals!AA43</f>
        <v>-22129.992621000005</v>
      </c>
    </row>
    <row r="35" spans="1:19" x14ac:dyDescent="0.25">
      <c r="A35" t="str">
        <f>tActuals!I44</f>
        <v>Consulting (for different IT-Tools)</v>
      </c>
      <c r="B35" s="6">
        <f>tActuals!J44</f>
        <v>-5825.3423401250011</v>
      </c>
      <c r="C35" s="6">
        <f>tActuals!K44</f>
        <v>-1805.8392563750003</v>
      </c>
      <c r="D35" s="6">
        <f>tActuals!L44</f>
        <v>-9079.840000000002</v>
      </c>
      <c r="E35" s="6">
        <f>tActuals!M44</f>
        <v>-10433.467000000002</v>
      </c>
      <c r="F35" s="6">
        <f>tActuals!N44</f>
        <v>-10286.197900000001</v>
      </c>
      <c r="G35" s="6">
        <f>tActuals!O44</f>
        <v>-3214.2198000000008</v>
      </c>
      <c r="H35" s="6">
        <f>tActuals!P44</f>
        <v>-4135.187100000001</v>
      </c>
      <c r="I35" s="6">
        <f>tActuals!Q44</f>
        <v>-2146.4432000000002</v>
      </c>
      <c r="J35" s="6">
        <f>tActuals!R44</f>
        <v>-2135.0813000000003</v>
      </c>
      <c r="K35" s="6">
        <f>tActuals!S44</f>
        <v>-11247.119400000001</v>
      </c>
      <c r="L35" s="6">
        <f>tActuals!T44</f>
        <v>-1803.5413000000003</v>
      </c>
      <c r="M35" s="6">
        <f>tActuals!U44</f>
        <v>-2119.2666000000004</v>
      </c>
      <c r="N35" s="6">
        <f>tActuals!V44</f>
        <v>-5832.7068690000006</v>
      </c>
      <c r="O35" s="6">
        <f>tActuals!W44</f>
        <v>-1808.1222390000003</v>
      </c>
      <c r="P35" s="6">
        <f>tActuals!X44</f>
        <v>-7327.0032660000015</v>
      </c>
      <c r="Q35" s="6">
        <f>tActuals!Y44</f>
        <v>-7621.5548970000018</v>
      </c>
      <c r="R35" s="6">
        <f>tActuals!Z44</f>
        <v>-2082.0939480000002</v>
      </c>
      <c r="S35" s="6">
        <f>tActuals!AA44</f>
        <v>-2059.214058</v>
      </c>
    </row>
    <row r="36" spans="1:19" x14ac:dyDescent="0.25">
      <c r="A36" s="22" t="str">
        <f>tActuals!I45</f>
        <v>CONSULTING</v>
      </c>
      <c r="B36" s="6">
        <f>tActuals!J45</f>
        <v>-17658.308619875002</v>
      </c>
      <c r="C36" s="6">
        <f>tActuals!K45</f>
        <v>-12474.306497125004</v>
      </c>
      <c r="D36" s="6">
        <f>tActuals!L45</f>
        <v>-27809.405800000008</v>
      </c>
      <c r="E36" s="6">
        <f>tActuals!M45</f>
        <v>-24312.893000000004</v>
      </c>
      <c r="F36" s="6">
        <f>tActuals!N45</f>
        <v>-16361.728900000002</v>
      </c>
      <c r="G36" s="6">
        <f>tActuals!O45</f>
        <v>-19434.378700000005</v>
      </c>
      <c r="H36" s="6">
        <f>tActuals!P45</f>
        <v>-15649.728600000004</v>
      </c>
      <c r="I36" s="6">
        <f>tActuals!Q45</f>
        <v>-13303.127200000001</v>
      </c>
      <c r="J36" s="6">
        <f>tActuals!R45</f>
        <v>-15401.618100000002</v>
      </c>
      <c r="K36" s="6">
        <f>tActuals!S45</f>
        <v>-17775.553400000004</v>
      </c>
      <c r="L36" s="6">
        <f>tActuals!T45</f>
        <v>-13832.030300000002</v>
      </c>
      <c r="M36" s="6">
        <f>tActuals!U45</f>
        <v>-33357.733840750006</v>
      </c>
      <c r="N36" s="6">
        <f>tActuals!V45</f>
        <v>-17680.632651000004</v>
      </c>
      <c r="O36" s="6">
        <f>tActuals!W45</f>
        <v>-10325.981853000001</v>
      </c>
      <c r="P36" s="6">
        <f>tActuals!X45</f>
        <v>-9534.6131760000026</v>
      </c>
      <c r="Q36" s="6">
        <f>tActuals!Y45</f>
        <v>-14689.272708000004</v>
      </c>
      <c r="R36" s="6">
        <f>tActuals!Z45</f>
        <v>-14917.041414000003</v>
      </c>
      <c r="S36" s="6">
        <f>tActuals!AA45</f>
        <v>-24189.206679000006</v>
      </c>
    </row>
    <row r="37" spans="1:19" x14ac:dyDescent="0.25">
      <c r="A37" t="str">
        <f>tActuals!I46</f>
        <v>Insurance (Cyber Security)</v>
      </c>
      <c r="B37" s="6">
        <f>tActuals!J46</f>
        <v>-71770.089737500006</v>
      </c>
      <c r="C37" s="6">
        <f>tActuals!K46</f>
        <v>-13956.64980325</v>
      </c>
      <c r="D37" s="6">
        <f>tActuals!L46</f>
        <v>0</v>
      </c>
      <c r="E37" s="6">
        <f>tActuals!M46</f>
        <v>0</v>
      </c>
      <c r="F37" s="6">
        <f>tActuals!N46</f>
        <v>0</v>
      </c>
      <c r="G37" s="6">
        <f>tActuals!O46</f>
        <v>-33073.329300000005</v>
      </c>
      <c r="H37" s="6">
        <f>tActuals!P46</f>
        <v>-8268.3293000000012</v>
      </c>
      <c r="I37" s="6">
        <f>tActuals!Q46</f>
        <v>-8268.3293000000012</v>
      </c>
      <c r="J37" s="6">
        <f>tActuals!R46</f>
        <v>-8268.3293000000012</v>
      </c>
      <c r="K37" s="6">
        <f>tActuals!S46</f>
        <v>-8268.3293000000012</v>
      </c>
      <c r="L37" s="6">
        <f>tActuals!T46</f>
        <v>-8268.3293000000012</v>
      </c>
      <c r="M37" s="6">
        <f>tActuals!U46</f>
        <v>-8268.3293000000012</v>
      </c>
      <c r="N37" s="6">
        <f>tActuals!V46</f>
        <v>-71860.823100000009</v>
      </c>
      <c r="O37" s="6">
        <f>tActuals!W46</f>
        <v>-13974.294114</v>
      </c>
      <c r="P37" s="6">
        <f>tActuals!X46</f>
        <v>-9383.5460070000008</v>
      </c>
      <c r="Q37" s="6">
        <f>tActuals!Y46</f>
        <v>-10880.322057000001</v>
      </c>
      <c r="R37" s="6">
        <f>tActuals!Z46</f>
        <v>-10131.934032000001</v>
      </c>
      <c r="S37" s="6">
        <f>tActuals!AA46</f>
        <v>-10131.934032000001</v>
      </c>
    </row>
    <row r="38" spans="1:19" x14ac:dyDescent="0.25">
      <c r="A38" t="str">
        <f>tActuals!I47</f>
        <v>Insurance (Legal Protection)</v>
      </c>
      <c r="B38" s="6">
        <f>tActuals!J47</f>
        <v>-26991.973556625006</v>
      </c>
      <c r="C38" s="6">
        <f>tActuals!K47</f>
        <v>-28304.255113750001</v>
      </c>
      <c r="D38" s="6">
        <f>tActuals!L47</f>
        <v>-27343.580000000005</v>
      </c>
      <c r="E38" s="6">
        <f>tActuals!M47</f>
        <v>-24900.348000000002</v>
      </c>
      <c r="F38" s="6">
        <f>tActuals!N47</f>
        <v>-26122.569000000007</v>
      </c>
      <c r="G38" s="6">
        <f>tActuals!O47</f>
        <v>-27268.221200000007</v>
      </c>
      <c r="H38" s="6">
        <f>tActuals!P47</f>
        <v>-31253.670800000007</v>
      </c>
      <c r="I38" s="6">
        <f>tActuals!Q47</f>
        <v>-29210.198600000003</v>
      </c>
      <c r="J38" s="6">
        <f>tActuals!R47</f>
        <v>-26770.209400000003</v>
      </c>
      <c r="K38" s="6">
        <f>tActuals!S47</f>
        <v>-28728.921100000003</v>
      </c>
      <c r="L38" s="6">
        <f>tActuals!T47</f>
        <v>-30726.582700000003</v>
      </c>
      <c r="M38" s="6">
        <f>tActuals!U47</f>
        <v>-30158.354600000002</v>
      </c>
      <c r="N38" s="6">
        <f>tActuals!V47</f>
        <v>-27026.097417000004</v>
      </c>
      <c r="O38" s="6">
        <f>tActuals!W47</f>
        <v>-28340.037990000004</v>
      </c>
      <c r="P38" s="6">
        <f>tActuals!X47</f>
        <v>-28256.017284000001</v>
      </c>
      <c r="Q38" s="6">
        <f>tActuals!Y47</f>
        <v>-25741.912680000005</v>
      </c>
      <c r="R38" s="6">
        <f>tActuals!Z47</f>
        <v>-24393.041343000004</v>
      </c>
      <c r="S38" s="6">
        <f>tActuals!AA47</f>
        <v>-25141.213746000005</v>
      </c>
    </row>
    <row r="39" spans="1:19" x14ac:dyDescent="0.25">
      <c r="A39" t="str">
        <f>tActuals!I48</f>
        <v>Insurance (Others)</v>
      </c>
      <c r="B39" s="6">
        <f>tActuals!J48</f>
        <v>0</v>
      </c>
      <c r="C39" s="6">
        <f>tActuals!K48</f>
        <v>0</v>
      </c>
      <c r="D39" s="6">
        <f>tActuals!L48</f>
        <v>-36964.048000000003</v>
      </c>
      <c r="E39" s="6">
        <f>tActuals!M48</f>
        <v>0</v>
      </c>
      <c r="F39" s="6">
        <f>tActuals!N48</f>
        <v>0</v>
      </c>
      <c r="G39" s="6">
        <f>tActuals!O48</f>
        <v>0</v>
      </c>
      <c r="H39" s="6">
        <f>tActuals!P48</f>
        <v>0</v>
      </c>
      <c r="I39" s="6">
        <f>tActuals!Q48</f>
        <v>0</v>
      </c>
      <c r="J39" s="6">
        <f>tActuals!R48</f>
        <v>0</v>
      </c>
      <c r="K39" s="6">
        <f>tActuals!S48</f>
        <v>0</v>
      </c>
      <c r="L39" s="6">
        <f>tActuals!T48</f>
        <v>0</v>
      </c>
      <c r="M39" s="6">
        <f>tActuals!U48</f>
        <v>0</v>
      </c>
      <c r="N39" s="6">
        <f>tActuals!V48</f>
        <v>0</v>
      </c>
      <c r="O39" s="6">
        <f>tActuals!W48</f>
        <v>0</v>
      </c>
      <c r="P39" s="6">
        <f>tActuals!X48</f>
        <v>-38153.678013000012</v>
      </c>
      <c r="Q39" s="6">
        <f>tActuals!Y48</f>
        <v>0</v>
      </c>
      <c r="R39" s="6">
        <f>tActuals!Z48</f>
        <v>0</v>
      </c>
      <c r="S39" s="6">
        <f>tActuals!AA48</f>
        <v>0</v>
      </c>
    </row>
    <row r="40" spans="1:19" x14ac:dyDescent="0.25">
      <c r="A40" s="22" t="str">
        <f>tActuals!I49</f>
        <v>INSURANCES</v>
      </c>
      <c r="B40" s="6">
        <f>tActuals!J49</f>
        <v>-98762.063294125008</v>
      </c>
      <c r="C40" s="6">
        <f>tActuals!K49</f>
        <v>-42260.904917</v>
      </c>
      <c r="D40" s="6">
        <f>tActuals!L49</f>
        <v>-64307.628000000012</v>
      </c>
      <c r="E40" s="6">
        <f>tActuals!M49</f>
        <v>-24900.348000000002</v>
      </c>
      <c r="F40" s="6">
        <f>tActuals!N49</f>
        <v>-26122.569000000007</v>
      </c>
      <c r="G40" s="6">
        <f>tActuals!O49</f>
        <v>-60341.550500000012</v>
      </c>
      <c r="H40" s="6">
        <f>tActuals!P49</f>
        <v>-39522.000100000005</v>
      </c>
      <c r="I40" s="6">
        <f>tActuals!Q49</f>
        <v>-37478.527900000001</v>
      </c>
      <c r="J40" s="6">
        <f>tActuals!R49</f>
        <v>-35038.538700000005</v>
      </c>
      <c r="K40" s="6">
        <f>tActuals!S49</f>
        <v>-36997.250400000004</v>
      </c>
      <c r="L40" s="6">
        <f>tActuals!T49</f>
        <v>-38994.912000000004</v>
      </c>
      <c r="M40" s="6">
        <f>tActuals!U49</f>
        <v>-38426.683900000004</v>
      </c>
      <c r="N40" s="6">
        <f>tActuals!V49</f>
        <v>-98886.92051700002</v>
      </c>
      <c r="O40" s="6">
        <f>tActuals!W49</f>
        <v>-42314.332104000001</v>
      </c>
      <c r="P40" s="6">
        <f>tActuals!X49</f>
        <v>-75793.24130400001</v>
      </c>
      <c r="Q40" s="6">
        <f>tActuals!Y49</f>
        <v>-36622.234737000006</v>
      </c>
      <c r="R40" s="6">
        <f>tActuals!Z49</f>
        <v>-34524.975375000009</v>
      </c>
      <c r="S40" s="6">
        <f>tActuals!AA49</f>
        <v>-35273.147778000006</v>
      </c>
    </row>
    <row r="41" spans="1:19" x14ac:dyDescent="0.25">
      <c r="A41" s="22" t="str">
        <f>tActuals!I50</f>
        <v>OPEX</v>
      </c>
      <c r="B41" s="6">
        <f>tActuals!J50</f>
        <v>-2337754.1270706821</v>
      </c>
      <c r="C41" s="6">
        <f>tActuals!K50</f>
        <v>-2336110.766942359</v>
      </c>
      <c r="D41" s="6">
        <f>tActuals!L50</f>
        <v>-2470148.5347489058</v>
      </c>
      <c r="E41" s="6">
        <f>tActuals!M50</f>
        <v>-2441566.2435437609</v>
      </c>
      <c r="F41" s="6">
        <f>tActuals!N50</f>
        <v>-2359059.8762731645</v>
      </c>
      <c r="G41" s="6">
        <f>tActuals!O50</f>
        <v>-2367964.617451807</v>
      </c>
      <c r="H41" s="6">
        <f>tActuals!P50</f>
        <v>-2216584.2908747382</v>
      </c>
      <c r="I41" s="6">
        <f>tActuals!Q50</f>
        <v>-2161406.5702862195</v>
      </c>
      <c r="J41" s="6">
        <f>tActuals!R50</f>
        <v>-2491803.0742785907</v>
      </c>
      <c r="K41" s="6">
        <f>tActuals!S50</f>
        <v>-2716996.9253838314</v>
      </c>
      <c r="L41" s="6">
        <f>tActuals!T50</f>
        <v>-2606554.9182598926</v>
      </c>
      <c r="M41" s="6">
        <f>tActuals!U50</f>
        <v>-2492744.5169490133</v>
      </c>
      <c r="N41" s="6">
        <f>tActuals!V50</f>
        <v>-2373063.4661338371</v>
      </c>
      <c r="O41" s="6">
        <f>tActuals!W50</f>
        <v>-2356777.3111779531</v>
      </c>
      <c r="P41" s="6">
        <f>tActuals!X50</f>
        <v>-2462522.4392632325</v>
      </c>
      <c r="Q41" s="6">
        <f>tActuals!Y50</f>
        <v>-2392503.9977099472</v>
      </c>
      <c r="R41" s="6">
        <f>tActuals!Z50</f>
        <v>-2294704.3929673857</v>
      </c>
      <c r="S41" s="6">
        <f>tActuals!AA50</f>
        <v>-2309268.9348691781</v>
      </c>
    </row>
    <row r="42" spans="1:19" x14ac:dyDescent="0.25">
      <c r="A42" s="22" t="str">
        <f>tActuals!I51</f>
        <v>EBITDA</v>
      </c>
      <c r="B42" s="6">
        <f>tActuals!J51</f>
        <v>13028.879961256869</v>
      </c>
      <c r="C42" s="6">
        <f>tActuals!K51</f>
        <v>873043.62891762005</v>
      </c>
      <c r="D42" s="6">
        <f>tActuals!L51</f>
        <v>2110234.731094724</v>
      </c>
      <c r="E42" s="6">
        <f>tActuals!M51</f>
        <v>2009575.9696349567</v>
      </c>
      <c r="F42" s="6">
        <f>tActuals!N51</f>
        <v>1600280.8199710157</v>
      </c>
      <c r="G42" s="6">
        <f>tActuals!O51</f>
        <v>839256.7148644221</v>
      </c>
      <c r="H42" s="6">
        <f>tActuals!P51</f>
        <v>198708.62786181085</v>
      </c>
      <c r="I42" s="6">
        <f>tActuals!Q51</f>
        <v>839962.82439667406</v>
      </c>
      <c r="J42" s="6">
        <f>tActuals!R51</f>
        <v>1998289.0273409118</v>
      </c>
      <c r="K42" s="6">
        <f>tActuals!S51</f>
        <v>1276259.1641698917</v>
      </c>
      <c r="L42" s="6">
        <f>tActuals!T51</f>
        <v>1748192.1035890337</v>
      </c>
      <c r="M42" s="6">
        <f>tActuals!U51</f>
        <v>1655883.0034360564</v>
      </c>
      <c r="N42" s="6">
        <f>tActuals!V51</f>
        <v>-451763.02555170981</v>
      </c>
      <c r="O42" s="6">
        <f>tActuals!W51</f>
        <v>265949.31307317037</v>
      </c>
      <c r="P42" s="6">
        <f>tActuals!X51</f>
        <v>1094397.7434874098</v>
      </c>
      <c r="Q42" s="6">
        <f>tActuals!Y51</f>
        <v>393835.88418833772</v>
      </c>
      <c r="R42" s="6">
        <f>tActuals!Z51</f>
        <v>720552.52096246416</v>
      </c>
      <c r="S42" s="6">
        <f>tActuals!AA51</f>
        <v>330700.68494541338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8E0D-218B-4ACD-AC42-78F605796DF5}">
  <sheetPr>
    <tabColor rgb="FFFFC000"/>
  </sheetPr>
  <dimension ref="A1:Y26"/>
  <sheetViews>
    <sheetView showGridLines="0" zoomScale="115" zoomScaleNormal="115" workbookViewId="0">
      <pane xSplit="1" ySplit="2" topLeftCell="B3" activePane="bottomRight" state="frozen"/>
      <selection activeCell="J5" sqref="J5"/>
      <selection pane="topRight" activeCell="J5" sqref="J5"/>
      <selection pane="bottomLeft" activeCell="J5" sqref="J5"/>
      <selection pane="bottomRight" activeCell="F18" sqref="F18"/>
    </sheetView>
  </sheetViews>
  <sheetFormatPr defaultRowHeight="15" x14ac:dyDescent="0.25"/>
  <cols>
    <col min="1" max="1" width="21.85546875" bestFit="1" customWidth="1"/>
    <col min="2" max="12" width="13.7109375" customWidth="1"/>
    <col min="13" max="13" width="13.7109375" style="34" customWidth="1"/>
    <col min="14" max="18" width="13.7109375" customWidth="1"/>
    <col min="19" max="19" width="13.7109375" style="34" customWidth="1"/>
    <col min="20" max="25" width="13.85546875" customWidth="1"/>
  </cols>
  <sheetData>
    <row r="1" spans="1:25" x14ac:dyDescent="0.25">
      <c r="O1" s="31"/>
      <c r="Q1" s="31"/>
      <c r="S1" s="33"/>
    </row>
    <row r="2" spans="1:25" x14ac:dyDescent="0.25">
      <c r="A2" s="92" t="s">
        <v>106</v>
      </c>
      <c r="B2" s="92" t="s">
        <v>142</v>
      </c>
      <c r="C2" s="92" t="s">
        <v>145</v>
      </c>
      <c r="D2" s="92" t="s">
        <v>148</v>
      </c>
      <c r="E2" s="92" t="s">
        <v>151</v>
      </c>
      <c r="F2" s="92" t="s">
        <v>154</v>
      </c>
      <c r="G2" s="92" t="s">
        <v>157</v>
      </c>
      <c r="H2" s="92" t="s">
        <v>159</v>
      </c>
      <c r="I2" s="92" t="s">
        <v>160</v>
      </c>
      <c r="J2" s="92" t="s">
        <v>161</v>
      </c>
      <c r="K2" s="92" t="s">
        <v>162</v>
      </c>
      <c r="L2" s="92" t="s">
        <v>163</v>
      </c>
      <c r="M2" s="92" t="s">
        <v>164</v>
      </c>
      <c r="N2" s="93" t="s">
        <v>141</v>
      </c>
      <c r="O2" s="92" t="s">
        <v>144</v>
      </c>
      <c r="P2" s="92" t="s">
        <v>147</v>
      </c>
      <c r="Q2" s="92" t="s">
        <v>150</v>
      </c>
      <c r="R2" s="92" t="s">
        <v>153</v>
      </c>
      <c r="S2" s="92" t="s">
        <v>156</v>
      </c>
      <c r="T2" s="93" t="s">
        <v>143</v>
      </c>
      <c r="U2" s="92" t="s">
        <v>146</v>
      </c>
      <c r="V2" s="92" t="s">
        <v>149</v>
      </c>
      <c r="W2" s="92" t="s">
        <v>152</v>
      </c>
      <c r="X2" s="92" t="s">
        <v>155</v>
      </c>
      <c r="Y2" s="92" t="s">
        <v>158</v>
      </c>
    </row>
    <row r="3" spans="1:25" x14ac:dyDescent="0.25">
      <c r="A3" s="94" t="s">
        <v>96</v>
      </c>
      <c r="B3" s="95">
        <f>_xlfn.XLOOKUP($A3,'P&amp;L ACTUALS'!$A:$A,'P&amp;L ACTUALS'!B:B,0)</f>
        <v>17902923.465115197</v>
      </c>
      <c r="C3" s="95">
        <f>_xlfn.XLOOKUP($A3,'P&amp;L ACTUALS'!$A:$A,'P&amp;L ACTUALS'!C:C,0)</f>
        <v>23598619.406511802</v>
      </c>
      <c r="D3" s="95">
        <f>_xlfn.XLOOKUP($A3,'P&amp;L ACTUALS'!$A:$A,'P&amp;L ACTUALS'!D:D,0)</f>
        <v>32077218.41</v>
      </c>
      <c r="E3" s="95">
        <f>_xlfn.XLOOKUP($A3,'P&amp;L ACTUALS'!$A:$A,'P&amp;L ACTUALS'!E:E,0)</f>
        <v>30007803.209999993</v>
      </c>
      <c r="F3" s="95">
        <f>_xlfn.XLOOKUP($A3,'P&amp;L ACTUALS'!$A:$A,'P&amp;L ACTUALS'!F:F,0)</f>
        <v>26992973.580000002</v>
      </c>
      <c r="G3" s="95">
        <f>_xlfn.XLOOKUP($A3,'P&amp;L ACTUALS'!$A:$A,'P&amp;L ACTUALS'!G:G,0)</f>
        <v>21786030.530000001</v>
      </c>
      <c r="H3" s="95">
        <f>_xlfn.XLOOKUP($A3,'P&amp;L ACTUALS'!$A:$A,'P&amp;L ACTUALS'!H:H,0)</f>
        <v>16275264.730000002</v>
      </c>
      <c r="I3" s="95">
        <f>_xlfn.XLOOKUP($A3,'P&amp;L ACTUALS'!$A:$A,'P&amp;L ACTUALS'!I:I,0)</f>
        <v>19576360.870000001</v>
      </c>
      <c r="J3" s="95">
        <f>_xlfn.XLOOKUP($A3,'P&amp;L ACTUALS'!$A:$A,'P&amp;L ACTUALS'!J:J,0)</f>
        <v>33628318.420000002</v>
      </c>
      <c r="K3" s="95">
        <f>_xlfn.XLOOKUP($A3,'P&amp;L ACTUALS'!$A:$A,'P&amp;L ACTUALS'!K:K,0)</f>
        <v>30816751.699999996</v>
      </c>
      <c r="L3" s="95">
        <f>_xlfn.XLOOKUP($A3,'P&amp;L ACTUALS'!$A:$A,'P&amp;L ACTUALS'!L:L,0)</f>
        <v>33437035.719999999</v>
      </c>
      <c r="M3" s="95">
        <f>_xlfn.XLOOKUP($A3,'P&amp;L ACTUALS'!$A:$A,'P&amp;L ACTUALS'!M:M,0)</f>
        <v>31446683.859999999</v>
      </c>
      <c r="N3" s="96">
        <f>_xlfn.XLOOKUP($A3,'P&amp;L ACTUALS'!$A:$A,'P&amp;L ACTUALS'!N:N,0)</f>
        <v>18270176.999999996</v>
      </c>
      <c r="O3" s="95">
        <f>_xlfn.XLOOKUP($A3,'P&amp;L ACTUALS'!$A:$A,'P&amp;L ACTUALS'!O:O,0)</f>
        <v>24091844.500000004</v>
      </c>
      <c r="P3" s="95">
        <f>_xlfn.XLOOKUP($A3,'P&amp;L ACTUALS'!$A:$A,'P&amp;L ACTUALS'!P:P,0)</f>
        <v>29060427.939999994</v>
      </c>
      <c r="Q3" s="95">
        <f>_xlfn.XLOOKUP($A3,'P&amp;L ACTUALS'!$A:$A,'P&amp;L ACTUALS'!Q:Q,0)</f>
        <v>21989688.709999997</v>
      </c>
      <c r="R3" s="95">
        <f>_xlfn.XLOOKUP($A3,'P&amp;L ACTUALS'!$A:$A,'P&amp;L ACTUALS'!R:R,0)</f>
        <v>23404056.190000001</v>
      </c>
      <c r="S3" s="95">
        <f>_xlfn.XLOOKUP($A3,'P&amp;L ACTUALS'!$A:$A,'P&amp;L ACTUALS'!S:S,0)</f>
        <v>21139929.449999999</v>
      </c>
      <c r="T3" s="96">
        <f>_xlfn.XLOOKUP(TRIM($A3),'Budget (from Controlling)_copy'!$B:$B,'Budget (from Controlling)_copy'!C:C,0)</f>
        <v>18928135.072498478</v>
      </c>
      <c r="U3" s="95">
        <f>_xlfn.XLOOKUP(TRIM($A3),'Budget (from Controlling)_copy'!$B:$B,'Budget (from Controlling)_copy'!D:D,0)</f>
        <v>24920142.093276463</v>
      </c>
      <c r="V3" s="95">
        <f>_xlfn.XLOOKUP(TRIM($A3),'Budget (from Controlling)_copy'!$B:$B,'Budget (from Controlling)_copy'!E:E,0)</f>
        <v>33841465.42255</v>
      </c>
      <c r="W3" s="95">
        <f>_xlfn.XLOOKUP(TRIM($A3),'Budget (from Controlling)_copy'!$B:$B,'Budget (from Controlling)_copy'!F:F,0)</f>
        <v>31628224.583339993</v>
      </c>
      <c r="X3" s="95">
        <f>_xlfn.XLOOKUP(TRIM($A3),'Budget (from Controlling)_copy'!$B:$B,'Budget (from Controlling)_copy'!G:G,0)</f>
        <v>28396608.206160001</v>
      </c>
      <c r="Y3" s="95">
        <f>_xlfn.XLOOKUP(TRIM($A3),'Budget (from Controlling)_copy'!$B:$B,'Budget (from Controlling)_copy'!H:H,0)</f>
        <v>22853546.025970001</v>
      </c>
    </row>
    <row r="4" spans="1:25" x14ac:dyDescent="0.25">
      <c r="A4" s="35" t="s">
        <v>15</v>
      </c>
      <c r="B4" s="32">
        <f>_xlfn.XLOOKUP($A4,'P&amp;L ACTUALS'!$A:$A,'P&amp;L ACTUALS'!B:B,0)</f>
        <v>-10999311.522297639</v>
      </c>
      <c r="C4" s="32">
        <f>_xlfn.XLOOKUP($A4,'P&amp;L ACTUALS'!$A:$A,'P&amp;L ACTUALS'!C:C,0)</f>
        <v>-14453912.40067677</v>
      </c>
      <c r="D4" s="32">
        <f>_xlfn.XLOOKUP($A4,'P&amp;L ACTUALS'!$A:$A,'P&amp;L ACTUALS'!D:D,0)</f>
        <v>-19635609.368750732</v>
      </c>
      <c r="E4" s="32">
        <f>_xlfn.XLOOKUP($A4,'P&amp;L ACTUALS'!$A:$A,'P&amp;L ACTUALS'!E:E,0)</f>
        <v>-18283547.537973501</v>
      </c>
      <c r="F4" s="32">
        <f>_xlfn.XLOOKUP($A4,'P&amp;L ACTUALS'!$A:$A,'P&amp;L ACTUALS'!F:F,0)</f>
        <v>-16447792.101544585</v>
      </c>
      <c r="G4" s="32">
        <f>_xlfn.XLOOKUP($A4,'P&amp;L ACTUALS'!$A:$A,'P&amp;L ACTUALS'!G:G,0)</f>
        <v>-13391748.90616479</v>
      </c>
      <c r="H4" s="32">
        <f>_xlfn.XLOOKUP($A4,'P&amp;L ACTUALS'!$A:$A,'P&amp;L ACTUALS'!H:H,0)</f>
        <v>-9993121.4156678841</v>
      </c>
      <c r="I4" s="32">
        <f>_xlfn.XLOOKUP($A4,'P&amp;L ACTUALS'!$A:$A,'P&amp;L ACTUALS'!I:I,0)</f>
        <v>-12007774.069799803</v>
      </c>
      <c r="J4" s="32">
        <f>_xlfn.XLOOKUP($A4,'P&amp;L ACTUALS'!$A:$A,'P&amp;L ACTUALS'!J:J,0)</f>
        <v>-20467742.886094138</v>
      </c>
      <c r="K4" s="32">
        <f>_xlfn.XLOOKUP($A4,'P&amp;L ACTUALS'!$A:$A,'P&amp;L ACTUALS'!K:K,0)</f>
        <v>-18727976.707296275</v>
      </c>
      <c r="L4" s="32">
        <f>_xlfn.XLOOKUP($A4,'P&amp;L ACTUALS'!$A:$A,'P&amp;L ACTUALS'!L:L,0)</f>
        <v>-20381830.877336733</v>
      </c>
      <c r="M4" s="32">
        <f>_xlfn.XLOOKUP($A4,'P&amp;L ACTUALS'!$A:$A,'P&amp;L ACTUALS'!M:M,0)</f>
        <v>-19239678.133620266</v>
      </c>
      <c r="N4" s="97">
        <f>_xlfn.XLOOKUP($A4,'P&amp;L ACTUALS'!$A:$A,'P&amp;L ACTUALS'!N:N,0)</f>
        <v>-11180487.919501811</v>
      </c>
      <c r="O4" s="32">
        <f>_xlfn.XLOOKUP($A4,'P&amp;L ACTUALS'!$A:$A,'P&amp;L ACTUALS'!O:O,0)</f>
        <v>-14710137.404876884</v>
      </c>
      <c r="P4" s="32">
        <f>_xlfn.XLOOKUP($A4,'P&amp;L ACTUALS'!$A:$A,'P&amp;L ACTUALS'!P:P,0)</f>
        <v>-17618862.723317973</v>
      </c>
      <c r="Q4" s="32">
        <f>_xlfn.XLOOKUP($A4,'P&amp;L ACTUALS'!$A:$A,'P&amp;L ACTUALS'!Q:Q,0)</f>
        <v>-13284155.515628133</v>
      </c>
      <c r="R4" s="32">
        <f>_xlfn.XLOOKUP($A4,'P&amp;L ACTUALS'!$A:$A,'P&amp;L ACTUALS'!R:R,0)</f>
        <v>-14091384.983087417</v>
      </c>
      <c r="S4" s="32">
        <f>_xlfn.XLOOKUP($A4,'P&amp;L ACTUALS'!$A:$A,'P&amp;L ACTUALS'!S:S,0)</f>
        <v>-12846079.263740903</v>
      </c>
      <c r="T4" s="97">
        <f>_xlfn.XLOOKUP(TRIM($A4),'Budget (from Controlling)_copy'!$B:$B,'Budget (from Controlling)_copy'!C:C,0)</f>
        <v>-11379260.889478678</v>
      </c>
      <c r="U4" s="32">
        <f>_xlfn.XLOOKUP(TRIM($A4),'Budget (from Controlling)_copy'!$B:$B,'Budget (from Controlling)_copy'!D:D,0)</f>
        <v>-14940672.270526728</v>
      </c>
      <c r="V4" s="32">
        <f>_xlfn.XLOOKUP(TRIM($A4),'Budget (from Controlling)_copy'!$B:$B,'Budget (from Controlling)_copy'!E:E,0)</f>
        <v>-20325399.297635794</v>
      </c>
      <c r="W4" s="32">
        <f>_xlfn.XLOOKUP(TRIM($A4),'Budget (from Controlling)_copy'!$B:$B,'Budget (from Controlling)_copy'!F:F,0)</f>
        <v>-18975128.868847851</v>
      </c>
      <c r="X4" s="32">
        <f>_xlfn.XLOOKUP(TRIM($A4),'Budget (from Controlling)_copy'!$B:$B,'Budget (from Controlling)_copy'!G:G,0)</f>
        <v>-17054295.842964519</v>
      </c>
      <c r="Y4" s="32">
        <f>_xlfn.XLOOKUP(TRIM($A4),'Budget (from Controlling)_copy'!$B:$B,'Budget (from Controlling)_copy'!H:H,0)</f>
        <v>-13728918.022774482</v>
      </c>
    </row>
    <row r="5" spans="1:25" x14ac:dyDescent="0.25">
      <c r="A5" s="98" t="s">
        <v>97</v>
      </c>
      <c r="B5" s="99">
        <f>_xlfn.XLOOKUP($A5,'P&amp;L ACTUALS'!$A:$A,'P&amp;L ACTUALS'!B:B,0)</f>
        <v>6903611.9428175576</v>
      </c>
      <c r="C5" s="99">
        <f>_xlfn.XLOOKUP($A5,'P&amp;L ACTUALS'!$A:$A,'P&amp;L ACTUALS'!C:C,0)</f>
        <v>9144707.0058350321</v>
      </c>
      <c r="D5" s="99">
        <f>_xlfn.XLOOKUP($A5,'P&amp;L ACTUALS'!$A:$A,'P&amp;L ACTUALS'!D:D,0)</f>
        <v>12441609.041249268</v>
      </c>
      <c r="E5" s="99">
        <f>_xlfn.XLOOKUP($A5,'P&amp;L ACTUALS'!$A:$A,'P&amp;L ACTUALS'!E:E,0)</f>
        <v>11724255.672026493</v>
      </c>
      <c r="F5" s="99">
        <f>_xlfn.XLOOKUP($A5,'P&amp;L ACTUALS'!$A:$A,'P&amp;L ACTUALS'!F:F,0)</f>
        <v>10545181.478455417</v>
      </c>
      <c r="G5" s="99">
        <f>_xlfn.XLOOKUP($A5,'P&amp;L ACTUALS'!$A:$A,'P&amp;L ACTUALS'!G:G,0)</f>
        <v>8394281.6238352116</v>
      </c>
      <c r="H5" s="99">
        <f>_xlfn.XLOOKUP($A5,'P&amp;L ACTUALS'!$A:$A,'P&amp;L ACTUALS'!H:H,0)</f>
        <v>6282143.3143321183</v>
      </c>
      <c r="I5" s="99">
        <f>_xlfn.XLOOKUP($A5,'P&amp;L ACTUALS'!$A:$A,'P&amp;L ACTUALS'!I:I,0)</f>
        <v>7568586.8002001978</v>
      </c>
      <c r="J5" s="99">
        <f>_xlfn.XLOOKUP($A5,'P&amp;L ACTUALS'!$A:$A,'P&amp;L ACTUALS'!J:J,0)</f>
        <v>13160575.533905864</v>
      </c>
      <c r="K5" s="99">
        <f>_xlfn.XLOOKUP($A5,'P&amp;L ACTUALS'!$A:$A,'P&amp;L ACTUALS'!K:K,0)</f>
        <v>12088774.992703721</v>
      </c>
      <c r="L5" s="99">
        <f>_xlfn.XLOOKUP($A5,'P&amp;L ACTUALS'!$A:$A,'P&amp;L ACTUALS'!L:L,0)</f>
        <v>13055204.842663266</v>
      </c>
      <c r="M5" s="99">
        <f>_xlfn.XLOOKUP($A5,'P&amp;L ACTUALS'!$A:$A,'P&amp;L ACTUALS'!M:M,0)</f>
        <v>12207005.726379734</v>
      </c>
      <c r="N5" s="100">
        <f>_xlfn.XLOOKUP($A5,'P&amp;L ACTUALS'!$A:$A,'P&amp;L ACTUALS'!N:N,0)</f>
        <v>7089689.080498185</v>
      </c>
      <c r="O5" s="99">
        <f>_xlfn.XLOOKUP($A5,'P&amp;L ACTUALS'!$A:$A,'P&amp;L ACTUALS'!O:O,0)</f>
        <v>9381707.0951231197</v>
      </c>
      <c r="P5" s="99">
        <f>_xlfn.XLOOKUP($A5,'P&amp;L ACTUALS'!$A:$A,'P&amp;L ACTUALS'!P:P,0)</f>
        <v>11441565.216682021</v>
      </c>
      <c r="Q5" s="99">
        <f>_xlfn.XLOOKUP($A5,'P&amp;L ACTUALS'!$A:$A,'P&amp;L ACTUALS'!Q:Q,0)</f>
        <v>8705533.1943718642</v>
      </c>
      <c r="R5" s="99">
        <f>_xlfn.XLOOKUP($A5,'P&amp;L ACTUALS'!$A:$A,'P&amp;L ACTUALS'!R:R,0)</f>
        <v>9312671.2069125846</v>
      </c>
      <c r="S5" s="99">
        <f>_xlfn.XLOOKUP($A5,'P&amp;L ACTUALS'!$A:$A,'P&amp;L ACTUALS'!S:S,0)</f>
        <v>8293850.1862590965</v>
      </c>
      <c r="T5" s="100">
        <f>_xlfn.XLOOKUP(TRIM($A5),'Budget (from Controlling)_copy'!$B:$B,'Budget (from Controlling)_copy'!C:C,0)</f>
        <v>7548874.1830198001</v>
      </c>
      <c r="U5" s="99">
        <f>_xlfn.XLOOKUP(TRIM($A5),'Budget (from Controlling)_copy'!$B:$B,'Budget (from Controlling)_copy'!D:D,0)</f>
        <v>9979469.8227497358</v>
      </c>
      <c r="V5" s="99">
        <f>_xlfn.XLOOKUP(TRIM($A5),'Budget (from Controlling)_copy'!$B:$B,'Budget (from Controlling)_copy'!E:E,0)</f>
        <v>13516066.124914207</v>
      </c>
      <c r="W5" s="99">
        <f>_xlfn.XLOOKUP(TRIM($A5),'Budget (from Controlling)_copy'!$B:$B,'Budget (from Controlling)_copy'!F:F,0)</f>
        <v>12653095.714492142</v>
      </c>
      <c r="X5" s="99">
        <f>_xlfn.XLOOKUP(TRIM($A5),'Budget (from Controlling)_copy'!$B:$B,'Budget (from Controlling)_copy'!G:G,0)</f>
        <v>11342312.363195483</v>
      </c>
      <c r="Y5" s="99">
        <f>_xlfn.XLOOKUP(TRIM($A5),'Budget (from Controlling)_copy'!$B:$B,'Budget (from Controlling)_copy'!H:H,0)</f>
        <v>9124628.0031955186</v>
      </c>
    </row>
    <row r="6" spans="1:25" x14ac:dyDescent="0.25">
      <c r="A6" s="26" t="s">
        <v>107</v>
      </c>
      <c r="B6" s="32">
        <f>_xlfn.XLOOKUP($A6,'P&amp;L ACTUALS'!$A:$A,'P&amp;L ACTUALS'!B:B,0)</f>
        <v>-384934.32112270466</v>
      </c>
      <c r="C6" s="32">
        <f>_xlfn.XLOOKUP($A6,'P&amp;L ACTUALS'!$A:$A,'P&amp;L ACTUALS'!C:C,0)</f>
        <v>-496888.00070691609</v>
      </c>
      <c r="D6" s="32">
        <f>_xlfn.XLOOKUP($A6,'P&amp;L ACTUALS'!$A:$A,'P&amp;L ACTUALS'!D:D,0)</f>
        <v>-692136.98317624372</v>
      </c>
      <c r="E6" s="32">
        <f>_xlfn.XLOOKUP($A6,'P&amp;L ACTUALS'!$A:$A,'P&amp;L ACTUALS'!E:E,0)</f>
        <v>-629389.18230949261</v>
      </c>
      <c r="F6" s="32">
        <f>_xlfn.XLOOKUP($A6,'P&amp;L ACTUALS'!$A:$A,'P&amp;L ACTUALS'!F:F,0)</f>
        <v>-579036.72301616741</v>
      </c>
      <c r="G6" s="32">
        <f>_xlfn.XLOOKUP($A6,'P&amp;L ACTUALS'!$A:$A,'P&amp;L ACTUALS'!G:G,0)</f>
        <v>-471001.97854523378</v>
      </c>
      <c r="H6" s="32">
        <f>_xlfn.XLOOKUP($A6,'P&amp;L ACTUALS'!$A:$A,'P&amp;L ACTUALS'!H:H,0)</f>
        <v>-350680.59912589804</v>
      </c>
      <c r="I6" s="32">
        <f>_xlfn.XLOOKUP($A6,'P&amp;L ACTUALS'!$A:$A,'P&amp;L ACTUALS'!I:I,0)</f>
        <v>-417497.95233051444</v>
      </c>
      <c r="J6" s="32">
        <f>_xlfn.XLOOKUP($A6,'P&amp;L ACTUALS'!$A:$A,'P&amp;L ACTUALS'!J:J,0)</f>
        <v>-709864.75192799023</v>
      </c>
      <c r="K6" s="32">
        <f>_xlfn.XLOOKUP($A6,'P&amp;L ACTUALS'!$A:$A,'P&amp;L ACTUALS'!K:K,0)</f>
        <v>-666382.09423071682</v>
      </c>
      <c r="L6" s="32">
        <f>_xlfn.XLOOKUP($A6,'P&amp;L ACTUALS'!$A:$A,'P&amp;L ACTUALS'!L:L,0)</f>
        <v>-710725.16558133706</v>
      </c>
      <c r="M6" s="32">
        <f>_xlfn.XLOOKUP($A6,'P&amp;L ACTUALS'!$A:$A,'P&amp;L ACTUALS'!M:M,0)</f>
        <v>-672713.9324187648</v>
      </c>
      <c r="N6" s="97">
        <f>_xlfn.XLOOKUP($A6,'P&amp;L ACTUALS'!$A:$A,'P&amp;L ACTUALS'!N:N,0)</f>
        <v>-404217.34012763639</v>
      </c>
      <c r="O6" s="32">
        <f>_xlfn.XLOOKUP($A6,'P&amp;L ACTUALS'!$A:$A,'P&amp;L ACTUALS'!O:O,0)</f>
        <v>-535002.48900314141</v>
      </c>
      <c r="P6" s="32">
        <f>_xlfn.XLOOKUP($A6,'P&amp;L ACTUALS'!$A:$A,'P&amp;L ACTUALS'!P:P,0)</f>
        <v>-651196.9747210202</v>
      </c>
      <c r="Q6" s="32">
        <f>_xlfn.XLOOKUP($A6,'P&amp;L ACTUALS'!$A:$A,'P&amp;L ACTUALS'!Q:Q,0)</f>
        <v>-492802.62487567309</v>
      </c>
      <c r="R6" s="32">
        <f>_xlfn.XLOOKUP($A6,'P&amp;L ACTUALS'!$A:$A,'P&amp;L ACTUALS'!R:R,0)</f>
        <v>-524343.77136082225</v>
      </c>
      <c r="S6" s="32">
        <f>_xlfn.XLOOKUP($A6,'P&amp;L ACTUALS'!$A:$A,'P&amp;L ACTUALS'!S:S,0)</f>
        <v>-471907.48842224921</v>
      </c>
      <c r="T6" s="97">
        <f>_xlfn.XLOOKUP(TRIM($A6),'Budget (from Controlling)_copy'!$B:$B,'Budget (from Controlling)_copy'!C:C,0)</f>
        <v>-425933.52437138214</v>
      </c>
      <c r="U6" s="32">
        <f>_xlfn.XLOOKUP(TRIM($A6),'Budget (from Controlling)_copy'!$B:$B,'Budget (from Controlling)_copy'!D:D,0)</f>
        <v>-560769.6642574626</v>
      </c>
      <c r="V6" s="32">
        <f>_xlfn.XLOOKUP(TRIM($A6),'Budget (from Controlling)_copy'!$B:$B,'Budget (from Controlling)_copy'!E:E,0)</f>
        <v>-761523.23417545937</v>
      </c>
      <c r="W6" s="32">
        <f>_xlfn.XLOOKUP(TRIM($A6),'Budget (from Controlling)_copy'!$B:$B,'Budget (from Controlling)_copy'!F:F,0)</f>
        <v>-711719.41212343529</v>
      </c>
      <c r="X6" s="32">
        <f>_xlfn.XLOOKUP(TRIM($A6),'Budget (from Controlling)_copy'!$B:$B,'Budget (from Controlling)_copy'!G:G,0)</f>
        <v>-638999.42424948665</v>
      </c>
      <c r="Y6" s="32">
        <f>_xlfn.XLOOKUP(TRIM($A6),'Budget (from Controlling)_copy'!$B:$B,'Budget (from Controlling)_copy'!H:H,0)</f>
        <v>-514265.74070512032</v>
      </c>
    </row>
    <row r="7" spans="1:25" x14ac:dyDescent="0.25">
      <c r="A7" s="101" t="s">
        <v>109</v>
      </c>
      <c r="B7" s="99">
        <f>_xlfn.XLOOKUP($A7,'P&amp;L ACTUALS'!$A:$A,'P&amp;L ACTUALS'!B:B,0)</f>
        <v>-1470207.5748717913</v>
      </c>
      <c r="C7" s="99">
        <f>_xlfn.XLOOKUP($A7,'P&amp;L ACTUALS'!$A:$A,'P&amp;L ACTUALS'!C:C,0)</f>
        <v>-1932725.4307341292</v>
      </c>
      <c r="D7" s="99">
        <f>_xlfn.XLOOKUP($A7,'P&amp;L ACTUALS'!$A:$A,'P&amp;L ACTUALS'!D:D,0)</f>
        <v>-2446516.2337589473</v>
      </c>
      <c r="E7" s="99">
        <f>_xlfn.XLOOKUP($A7,'P&amp;L ACTUALS'!$A:$A,'P&amp;L ACTUALS'!E:E,0)</f>
        <v>-2307060.6568676503</v>
      </c>
      <c r="F7" s="99">
        <f>_xlfn.XLOOKUP($A7,'P&amp;L ACTUALS'!$A:$A,'P&amp;L ACTUALS'!F:F,0)</f>
        <v>-2092614.7626787613</v>
      </c>
      <c r="G7" s="99">
        <f>_xlfn.XLOOKUP($A7,'P&amp;L ACTUALS'!$A:$A,'P&amp;L ACTUALS'!G:G,0)</f>
        <v>-1618297.103107024</v>
      </c>
      <c r="H7" s="99">
        <f>_xlfn.XLOOKUP($A7,'P&amp;L ACTUALS'!$A:$A,'P&amp;L ACTUALS'!H:H,0)</f>
        <v>-1227654.3623487127</v>
      </c>
      <c r="I7" s="99">
        <f>_xlfn.XLOOKUP($A7,'P&amp;L ACTUALS'!$A:$A,'P&amp;L ACTUALS'!I:I,0)</f>
        <v>-1435278.968607926</v>
      </c>
      <c r="J7" s="99">
        <f>_xlfn.XLOOKUP($A7,'P&amp;L ACTUALS'!$A:$A,'P&amp;L ACTUALS'!J:J,0)</f>
        <v>-2829668.0311388834</v>
      </c>
      <c r="K7" s="99">
        <f>_xlfn.XLOOKUP($A7,'P&amp;L ACTUALS'!$A:$A,'P&amp;L ACTUALS'!K:K,0)</f>
        <v>-2625300.9409412681</v>
      </c>
      <c r="L7" s="99">
        <f>_xlfn.XLOOKUP($A7,'P&amp;L ACTUALS'!$A:$A,'P&amp;L ACTUALS'!L:L,0)</f>
        <v>-2833429.9650960444</v>
      </c>
      <c r="M7" s="99">
        <f>_xlfn.XLOOKUP($A7,'P&amp;L ACTUALS'!$A:$A,'P&amp;L ACTUALS'!M:M,0)</f>
        <v>-2614443.6068102433</v>
      </c>
      <c r="N7" s="100">
        <f>_xlfn.XLOOKUP($A7,'P&amp;L ACTUALS'!$A:$A,'P&amp;L ACTUALS'!N:N,0)</f>
        <v>-1830023.9135537171</v>
      </c>
      <c r="O7" s="99">
        <f>_xlfn.XLOOKUP($A7,'P&amp;L ACTUALS'!$A:$A,'P&amp;L ACTUALS'!O:O,0)</f>
        <v>-2405737.6774740806</v>
      </c>
      <c r="P7" s="99">
        <f>_xlfn.XLOOKUP($A7,'P&amp;L ACTUALS'!$A:$A,'P&amp;L ACTUALS'!P:P,0)</f>
        <v>-2768479.8280276647</v>
      </c>
      <c r="Q7" s="99">
        <f>_xlfn.XLOOKUP($A7,'P&amp;L ACTUALS'!$A:$A,'P&amp;L ACTUALS'!Q:Q,0)</f>
        <v>-2084666.5777848272</v>
      </c>
      <c r="R7" s="99">
        <f>_xlfn.XLOOKUP($A7,'P&amp;L ACTUALS'!$A:$A,'P&amp;L ACTUALS'!R:R,0)</f>
        <v>-2202174.6291354145</v>
      </c>
      <c r="S7" s="99">
        <f>_xlfn.XLOOKUP($A7,'P&amp;L ACTUALS'!$A:$A,'P&amp;L ACTUALS'!S:S,0)</f>
        <v>-1982751.8174181338</v>
      </c>
      <c r="T7" s="100">
        <f>_xlfn.XLOOKUP(TRIM($A7),'Budget (from Controlling)_copy'!$B:$B,'Budget (from Controlling)_copy'!C:C,0)</f>
        <v>-1666186.2385877755</v>
      </c>
      <c r="U7" s="99">
        <f>_xlfn.XLOOKUP(TRIM($A7),'Budget (from Controlling)_copy'!$B:$B,'Budget (from Controlling)_copy'!D:D,0)</f>
        <v>-2162748.0164199658</v>
      </c>
      <c r="V7" s="99">
        <f>_xlfn.XLOOKUP(TRIM($A7),'Budget (from Controlling)_copy'!$B:$B,'Budget (from Controlling)_copy'!E:E,0)</f>
        <v>-2853089.8029714175</v>
      </c>
      <c r="W7" s="99">
        <f>_xlfn.XLOOKUP(TRIM($A7),'Budget (from Controlling)_copy'!$B:$B,'Budget (from Controlling)_copy'!F:F,0)</f>
        <v>-2627283.7802903662</v>
      </c>
      <c r="X7" s="99">
        <f>_xlfn.XLOOKUP(TRIM($A7),'Budget (from Controlling)_copy'!$B:$B,'Budget (from Controlling)_copy'!G:G,0)</f>
        <v>-2288427.6901496761</v>
      </c>
      <c r="Y7" s="99">
        <f>_xlfn.XLOOKUP(TRIM($A7),'Budget (from Controlling)_copy'!$B:$B,'Budget (from Controlling)_copy'!H:H,0)</f>
        <v>-1841723.0383378961</v>
      </c>
    </row>
    <row r="8" spans="1:25" x14ac:dyDescent="0.25">
      <c r="A8" s="26" t="s">
        <v>108</v>
      </c>
      <c r="B8" s="32">
        <f>_xlfn.XLOOKUP($A8,'P&amp;L ACTUALS'!$A:$A,'P&amp;L ACTUALS'!B:B,0)</f>
        <v>-2697687.0397911221</v>
      </c>
      <c r="C8" s="32">
        <f>_xlfn.XLOOKUP($A8,'P&amp;L ACTUALS'!$A:$A,'P&amp;L ACTUALS'!C:C,0)</f>
        <v>-3505939.1785340076</v>
      </c>
      <c r="D8" s="32">
        <f>_xlfn.XLOOKUP($A8,'P&amp;L ACTUALS'!$A:$A,'P&amp;L ACTUALS'!D:D,0)</f>
        <v>-4722572.5584704466</v>
      </c>
      <c r="E8" s="32">
        <f>_xlfn.XLOOKUP($A8,'P&amp;L ACTUALS'!$A:$A,'P&amp;L ACTUALS'!E:E,0)</f>
        <v>-4336663.6196706323</v>
      </c>
      <c r="F8" s="32">
        <f>_xlfn.XLOOKUP($A8,'P&amp;L ACTUALS'!$A:$A,'P&amp;L ACTUALS'!F:F,0)</f>
        <v>-3914189.2965163086</v>
      </c>
      <c r="G8" s="32">
        <f>_xlfn.XLOOKUP($A8,'P&amp;L ACTUALS'!$A:$A,'P&amp;L ACTUALS'!G:G,0)</f>
        <v>-3097761.209866724</v>
      </c>
      <c r="H8" s="32">
        <f>_xlfn.XLOOKUP($A8,'P&amp;L ACTUALS'!$A:$A,'P&amp;L ACTUALS'!H:H,0)</f>
        <v>-2288515.4341209582</v>
      </c>
      <c r="I8" s="32">
        <f>_xlfn.XLOOKUP($A8,'P&amp;L ACTUALS'!$A:$A,'P&amp;L ACTUALS'!I:I,0)</f>
        <v>-2714440.4845788646</v>
      </c>
      <c r="J8" s="32">
        <f>_xlfn.XLOOKUP($A8,'P&amp;L ACTUALS'!$A:$A,'P&amp;L ACTUALS'!J:J,0)</f>
        <v>-5130950.6492194887</v>
      </c>
      <c r="K8" s="32">
        <f>_xlfn.XLOOKUP($A8,'P&amp;L ACTUALS'!$A:$A,'P&amp;L ACTUALS'!K:K,0)</f>
        <v>-4803835.8679780131</v>
      </c>
      <c r="L8" s="32">
        <f>_xlfn.XLOOKUP($A8,'P&amp;L ACTUALS'!$A:$A,'P&amp;L ACTUALS'!L:L,0)</f>
        <v>-5156302.6901369579</v>
      </c>
      <c r="M8" s="32">
        <f>_xlfn.XLOOKUP($A8,'P&amp;L ACTUALS'!$A:$A,'P&amp;L ACTUALS'!M:M,0)</f>
        <v>-4771220.6667656554</v>
      </c>
      <c r="N8" s="97">
        <f>_xlfn.XLOOKUP($A8,'P&amp;L ACTUALS'!$A:$A,'P&amp;L ACTUALS'!N:N,0)</f>
        <v>-2934147.3862347044</v>
      </c>
      <c r="O8" s="32">
        <f>_xlfn.XLOOKUP($A8,'P&amp;L ACTUALS'!$A:$A,'P&amp;L ACTUALS'!O:O,0)</f>
        <v>-3818240.3043947741</v>
      </c>
      <c r="P8" s="32">
        <f>_xlfn.XLOOKUP($A8,'P&amp;L ACTUALS'!$A:$A,'P&amp;L ACTUALS'!P:P,0)</f>
        <v>-4464968.2311826935</v>
      </c>
      <c r="Q8" s="32">
        <f>_xlfn.XLOOKUP($A8,'P&amp;L ACTUALS'!$A:$A,'P&amp;L ACTUALS'!Q:Q,0)</f>
        <v>-3341724.1098130792</v>
      </c>
      <c r="R8" s="32">
        <f>_xlfn.XLOOKUP($A8,'P&amp;L ACTUALS'!$A:$A,'P&amp;L ACTUALS'!R:R,0)</f>
        <v>-3570895.8924864982</v>
      </c>
      <c r="S8" s="32">
        <f>_xlfn.XLOOKUP($A8,'P&amp;L ACTUALS'!$A:$A,'P&amp;L ACTUALS'!S:S,0)</f>
        <v>-3199221.2606041213</v>
      </c>
      <c r="T8" s="97">
        <f>_xlfn.XLOOKUP(TRIM($A8),'Budget (from Controlling)_copy'!$B:$B,'Budget (from Controlling)_copy'!C:C,0)</f>
        <v>-2929859.4297916428</v>
      </c>
      <c r="U8" s="32">
        <f>_xlfn.XLOOKUP(TRIM($A8),'Budget (from Controlling)_copy'!$B:$B,'Budget (from Controlling)_copy'!D:D,0)</f>
        <v>-3825209.161681666</v>
      </c>
      <c r="V8" s="32">
        <f>_xlfn.XLOOKUP(TRIM($A8),'Budget (from Controlling)_copy'!$B:$B,'Budget (from Controlling)_copy'!E:E,0)</f>
        <v>-5107316.0562991342</v>
      </c>
      <c r="W8" s="32">
        <f>_xlfn.XLOOKUP(TRIM($A8),'Budget (from Controlling)_copy'!$B:$B,'Budget (from Controlling)_copy'!F:F,0)</f>
        <v>-4732498.8242035117</v>
      </c>
      <c r="X8" s="32">
        <f>_xlfn.XLOOKUP(TRIM($A8),'Budget (from Controlling)_copy'!$B:$B,'Budget (from Controlling)_copy'!G:G,0)</f>
        <v>-4248955.3782227663</v>
      </c>
      <c r="Y8" s="32">
        <f>_xlfn.XLOOKUP(TRIM($A8),'Budget (from Controlling)_copy'!$B:$B,'Budget (from Controlling)_copy'!H:H,0)</f>
        <v>-3331115.959181576</v>
      </c>
    </row>
    <row r="9" spans="1:25" x14ac:dyDescent="0.25">
      <c r="A9" s="98" t="s">
        <v>98</v>
      </c>
      <c r="B9" s="99">
        <f>_xlfn.XLOOKUP($A9,'P&amp;L ACTUALS'!$A:$A,'P&amp;L ACTUALS'!B:B,0)</f>
        <v>-4552828.9357856186</v>
      </c>
      <c r="C9" s="99">
        <f>_xlfn.XLOOKUP($A9,'P&amp;L ACTUALS'!$A:$A,'P&amp;L ACTUALS'!C:C,0)</f>
        <v>-5935552.609975053</v>
      </c>
      <c r="D9" s="99">
        <f>_xlfn.XLOOKUP($A9,'P&amp;L ACTUALS'!$A:$A,'P&amp;L ACTUALS'!D:D,0)</f>
        <v>-7861225.7754056379</v>
      </c>
      <c r="E9" s="99">
        <f>_xlfn.XLOOKUP($A9,'P&amp;L ACTUALS'!$A:$A,'P&amp;L ACTUALS'!E:E,0)</f>
        <v>-7273113.4588477751</v>
      </c>
      <c r="F9" s="99">
        <f>_xlfn.XLOOKUP($A9,'P&amp;L ACTUALS'!$A:$A,'P&amp;L ACTUALS'!F:F,0)</f>
        <v>-6585840.7822112367</v>
      </c>
      <c r="G9" s="99">
        <f>_xlfn.XLOOKUP($A9,'P&amp;L ACTUALS'!$A:$A,'P&amp;L ACTUALS'!G:G,0)</f>
        <v>-5187060.2915189825</v>
      </c>
      <c r="H9" s="99">
        <f>_xlfn.XLOOKUP($A9,'P&amp;L ACTUALS'!$A:$A,'P&amp;L ACTUALS'!H:H,0)</f>
        <v>-3866850.3955955692</v>
      </c>
      <c r="I9" s="99">
        <f>_xlfn.XLOOKUP($A9,'P&amp;L ACTUALS'!$A:$A,'P&amp;L ACTUALS'!I:I,0)</f>
        <v>-4567217.4055173043</v>
      </c>
      <c r="J9" s="99">
        <f>_xlfn.XLOOKUP($A9,'P&amp;L ACTUALS'!$A:$A,'P&amp;L ACTUALS'!J:J,0)</f>
        <v>-8670483.4322863612</v>
      </c>
      <c r="K9" s="99">
        <f>_xlfn.XLOOKUP($A9,'P&amp;L ACTUALS'!$A:$A,'P&amp;L ACTUALS'!K:K,0)</f>
        <v>-8095518.9031499978</v>
      </c>
      <c r="L9" s="99">
        <f>_xlfn.XLOOKUP($A9,'P&amp;L ACTUALS'!$A:$A,'P&amp;L ACTUALS'!L:L,0)</f>
        <v>-8700457.8208143394</v>
      </c>
      <c r="M9" s="99">
        <f>_xlfn.XLOOKUP($A9,'P&amp;L ACTUALS'!$A:$A,'P&amp;L ACTUALS'!M:M,0)</f>
        <v>-8058378.2059946638</v>
      </c>
      <c r="N9" s="100">
        <f>_xlfn.XLOOKUP($A9,'P&amp;L ACTUALS'!$A:$A,'P&amp;L ACTUALS'!N:N,0)</f>
        <v>-5168388.6399160577</v>
      </c>
      <c r="O9" s="99">
        <f>_xlfn.XLOOKUP($A9,'P&amp;L ACTUALS'!$A:$A,'P&amp;L ACTUALS'!O:O,0)</f>
        <v>-6758980.4708719961</v>
      </c>
      <c r="P9" s="99">
        <f>_xlfn.XLOOKUP($A9,'P&amp;L ACTUALS'!$A:$A,'P&amp;L ACTUALS'!P:P,0)</f>
        <v>-7884645.0339313783</v>
      </c>
      <c r="Q9" s="99">
        <f>_xlfn.XLOOKUP($A9,'P&amp;L ACTUALS'!$A:$A,'P&amp;L ACTUALS'!Q:Q,0)</f>
        <v>-5919193.3124735793</v>
      </c>
      <c r="R9" s="99">
        <f>_xlfn.XLOOKUP($A9,'P&amp;L ACTUALS'!$A:$A,'P&amp;L ACTUALS'!R:R,0)</f>
        <v>-6297414.2929827347</v>
      </c>
      <c r="S9" s="99">
        <f>_xlfn.XLOOKUP($A9,'P&amp;L ACTUALS'!$A:$A,'P&amp;L ACTUALS'!S:S,0)</f>
        <v>-5653880.566444505</v>
      </c>
      <c r="T9" s="100">
        <f>_xlfn.XLOOKUP(TRIM($A9),'Budget (from Controlling)_copy'!$B:$B,'Budget (from Controlling)_copy'!C:C,0)</f>
        <v>-5021979.1927508004</v>
      </c>
      <c r="U9" s="99">
        <f>_xlfn.XLOOKUP(TRIM($A9),'Budget (from Controlling)_copy'!$B:$B,'Budget (from Controlling)_copy'!D:D,0)</f>
        <v>-6548726.8423590939</v>
      </c>
      <c r="V9" s="99">
        <f>_xlfn.XLOOKUP(TRIM($A9),'Budget (from Controlling)_copy'!$B:$B,'Budget (from Controlling)_copy'!E:E,0)</f>
        <v>-8721929.0934460107</v>
      </c>
      <c r="W9" s="99">
        <f>_xlfn.XLOOKUP(TRIM($A9),'Budget (from Controlling)_copy'!$B:$B,'Budget (from Controlling)_copy'!F:F,0)</f>
        <v>-8071502.016617313</v>
      </c>
      <c r="X9" s="99">
        <f>_xlfn.XLOOKUP(TRIM($A9),'Budget (from Controlling)_copy'!$B:$B,'Budget (from Controlling)_copy'!G:G,0)</f>
        <v>-7176382.4926219285</v>
      </c>
      <c r="Y9" s="99">
        <f>_xlfn.XLOOKUP(TRIM($A9),'Budget (from Controlling)_copy'!$B:$B,'Budget (from Controlling)_copy'!H:H,0)</f>
        <v>-5687104.7382245921</v>
      </c>
    </row>
    <row r="10" spans="1:25" x14ac:dyDescent="0.25">
      <c r="A10" s="35" t="s">
        <v>99</v>
      </c>
      <c r="B10" s="32">
        <f>_xlfn.XLOOKUP($A10,'P&amp;L ACTUALS'!$A:$A,'P&amp;L ACTUALS'!B:B,0)</f>
        <v>2350783.007031939</v>
      </c>
      <c r="C10" s="32">
        <f>_xlfn.XLOOKUP($A10,'P&amp;L ACTUALS'!$A:$A,'P&amp;L ACTUALS'!C:C,0)</f>
        <v>3209154.3958599791</v>
      </c>
      <c r="D10" s="32">
        <f>_xlfn.XLOOKUP($A10,'P&amp;L ACTUALS'!$A:$A,'P&amp;L ACTUALS'!D:D,0)</f>
        <v>4580383.2658436298</v>
      </c>
      <c r="E10" s="32">
        <f>_xlfn.XLOOKUP($A10,'P&amp;L ACTUALS'!$A:$A,'P&amp;L ACTUALS'!E:E,0)</f>
        <v>4451142.2131787175</v>
      </c>
      <c r="F10" s="32">
        <f>_xlfn.XLOOKUP($A10,'P&amp;L ACTUALS'!$A:$A,'P&amp;L ACTUALS'!F:F,0)</f>
        <v>3959340.6962441802</v>
      </c>
      <c r="G10" s="32">
        <f>_xlfn.XLOOKUP($A10,'P&amp;L ACTUALS'!$A:$A,'P&amp;L ACTUALS'!G:G,0)</f>
        <v>3207221.3323162291</v>
      </c>
      <c r="H10" s="32">
        <f>_xlfn.XLOOKUP($A10,'P&amp;L ACTUALS'!$A:$A,'P&amp;L ACTUALS'!H:H,0)</f>
        <v>2415292.9187365491</v>
      </c>
      <c r="I10" s="32">
        <f>_xlfn.XLOOKUP($A10,'P&amp;L ACTUALS'!$A:$A,'P&amp;L ACTUALS'!I:I,0)</f>
        <v>3001369.3946828935</v>
      </c>
      <c r="J10" s="32">
        <f>_xlfn.XLOOKUP($A10,'P&amp;L ACTUALS'!$A:$A,'P&amp;L ACTUALS'!J:J,0)</f>
        <v>4490092.1016195025</v>
      </c>
      <c r="K10" s="32">
        <f>_xlfn.XLOOKUP($A10,'P&amp;L ACTUALS'!$A:$A,'P&amp;L ACTUALS'!K:K,0)</f>
        <v>3993256.0895537231</v>
      </c>
      <c r="L10" s="32">
        <f>_xlfn.XLOOKUP($A10,'P&amp;L ACTUALS'!$A:$A,'P&amp;L ACTUALS'!L:L,0)</f>
        <v>4354747.0218489263</v>
      </c>
      <c r="M10" s="32">
        <f>_xlfn.XLOOKUP($A10,'P&amp;L ACTUALS'!$A:$A,'P&amp;L ACTUALS'!M:M,0)</f>
        <v>4148627.5203850698</v>
      </c>
      <c r="N10" s="97">
        <f>_xlfn.XLOOKUP($A10,'P&amp;L ACTUALS'!$A:$A,'P&amp;L ACTUALS'!N:N,0)</f>
        <v>1921300.4405821273</v>
      </c>
      <c r="O10" s="32">
        <f>_xlfn.XLOOKUP($A10,'P&amp;L ACTUALS'!$A:$A,'P&amp;L ACTUALS'!O:O,0)</f>
        <v>2622726.6242511235</v>
      </c>
      <c r="P10" s="32">
        <f>_xlfn.XLOOKUP($A10,'P&amp;L ACTUALS'!$A:$A,'P&amp;L ACTUALS'!P:P,0)</f>
        <v>3556920.1827506423</v>
      </c>
      <c r="Q10" s="32">
        <f>_xlfn.XLOOKUP($A10,'P&amp;L ACTUALS'!$A:$A,'P&amp;L ACTUALS'!Q:Q,0)</f>
        <v>2786339.8818982849</v>
      </c>
      <c r="R10" s="32">
        <f>_xlfn.XLOOKUP($A10,'P&amp;L ACTUALS'!$A:$A,'P&amp;L ACTUALS'!R:R,0)</f>
        <v>3015256.9139298499</v>
      </c>
      <c r="S10" s="32">
        <f>_xlfn.XLOOKUP($A10,'P&amp;L ACTUALS'!$A:$A,'P&amp;L ACTUALS'!S:S,0)</f>
        <v>2639969.6198145915</v>
      </c>
      <c r="T10" s="97">
        <f>_xlfn.XLOOKUP(TRIM($A10),'Budget (from Controlling)_copy'!$B:$B,'Budget (from Controlling)_copy'!C:C,0)</f>
        <v>2526894.9902689997</v>
      </c>
      <c r="U10" s="32">
        <f>_xlfn.XLOOKUP(TRIM($A10),'Budget (from Controlling)_copy'!$B:$B,'Budget (from Controlling)_copy'!D:D,0)</f>
        <v>3430742.9803906418</v>
      </c>
      <c r="V10" s="32">
        <f>_xlfn.XLOOKUP(TRIM($A10),'Budget (from Controlling)_copy'!$B:$B,'Budget (from Controlling)_copy'!E:E,0)</f>
        <v>4794137.0314681958</v>
      </c>
      <c r="W10" s="32">
        <f>_xlfn.XLOOKUP(TRIM($A10),'Budget (from Controlling)_copy'!$B:$B,'Budget (from Controlling)_copy'!F:F,0)</f>
        <v>4581593.6978748292</v>
      </c>
      <c r="X10" s="32">
        <f>_xlfn.XLOOKUP(TRIM($A10),'Budget (from Controlling)_copy'!$B:$B,'Budget (from Controlling)_copy'!G:G,0)</f>
        <v>4165929.8705735542</v>
      </c>
      <c r="Y10" s="32">
        <f>_xlfn.XLOOKUP(TRIM($A10),'Budget (from Controlling)_copy'!$B:$B,'Budget (from Controlling)_copy'!H:H,0)</f>
        <v>3437523.2649709266</v>
      </c>
    </row>
    <row r="11" spans="1:25" x14ac:dyDescent="0.25">
      <c r="A11" s="101" t="s">
        <v>100</v>
      </c>
      <c r="B11" s="99">
        <f>_xlfn.XLOOKUP($A11,'P&amp;L ACTUALS'!$A:$A,'P&amp;L ACTUALS'!B:B,0)</f>
        <v>-1555136.0787005569</v>
      </c>
      <c r="C11" s="99">
        <f>_xlfn.XLOOKUP($A11,'P&amp;L ACTUALS'!$A:$A,'P&amp;L ACTUALS'!C:C,0)</f>
        <v>-1562598.569672405</v>
      </c>
      <c r="D11" s="99">
        <f>_xlfn.XLOOKUP($A11,'P&amp;L ACTUALS'!$A:$A,'P&amp;L ACTUALS'!D:D,0)</f>
        <v>-1567811.9875059724</v>
      </c>
      <c r="E11" s="99">
        <f>_xlfn.XLOOKUP($A11,'P&amp;L ACTUALS'!$A:$A,'P&amp;L ACTUALS'!E:E,0)</f>
        <v>-1544263.1500471423</v>
      </c>
      <c r="F11" s="99">
        <f>_xlfn.XLOOKUP($A11,'P&amp;L ACTUALS'!$A:$A,'P&amp;L ACTUALS'!F:F,0)</f>
        <v>-1539991.1486449142</v>
      </c>
      <c r="G11" s="99">
        <f>_xlfn.XLOOKUP($A11,'P&amp;L ACTUALS'!$A:$A,'P&amp;L ACTUALS'!G:G,0)</f>
        <v>-1548088.7760518068</v>
      </c>
      <c r="H11" s="99">
        <f>_xlfn.XLOOKUP($A11,'P&amp;L ACTUALS'!$A:$A,'P&amp;L ACTUALS'!H:H,0)</f>
        <v>-1538853.5462002382</v>
      </c>
      <c r="I11" s="99">
        <f>_xlfn.XLOOKUP($A11,'P&amp;L ACTUALS'!$A:$A,'P&amp;L ACTUALS'!I:I,0)</f>
        <v>-1543126.5205562874</v>
      </c>
      <c r="J11" s="99">
        <f>_xlfn.XLOOKUP($A11,'P&amp;L ACTUALS'!$A:$A,'P&amp;L ACTUALS'!J:J,0)</f>
        <v>-1598615.0621655968</v>
      </c>
      <c r="K11" s="99">
        <f>_xlfn.XLOOKUP($A11,'P&amp;L ACTUALS'!$A:$A,'P&amp;L ACTUALS'!K:K,0)</f>
        <v>-1579763.4874029434</v>
      </c>
      <c r="L11" s="99">
        <f>_xlfn.XLOOKUP($A11,'P&amp;L ACTUALS'!$A:$A,'P&amp;L ACTUALS'!L:L,0)</f>
        <v>-1580422.8727808974</v>
      </c>
      <c r="M11" s="99">
        <f>_xlfn.XLOOKUP($A11,'P&amp;L ACTUALS'!$A:$A,'P&amp;L ACTUALS'!M:M,0)</f>
        <v>-1671264.7147753506</v>
      </c>
      <c r="N11" s="100">
        <f>_xlfn.XLOOKUP($A11,'P&amp;L ACTUALS'!$A:$A,'P&amp;L ACTUALS'!N:N,0)</f>
        <v>-1573719.7579048376</v>
      </c>
      <c r="O11" s="99">
        <f>_xlfn.XLOOKUP($A11,'P&amp;L ACTUALS'!$A:$A,'P&amp;L ACTUALS'!O:O,0)</f>
        <v>-1593334.03959086</v>
      </c>
      <c r="P11" s="99">
        <f>_xlfn.XLOOKUP($A11,'P&amp;L ACTUALS'!$A:$A,'P&amp;L ACTUALS'!P:P,0)</f>
        <v>-1595185.6854267872</v>
      </c>
      <c r="Q11" s="99">
        <f>_xlfn.XLOOKUP($A11,'P&amp;L ACTUALS'!$A:$A,'P&amp;L ACTUALS'!Q:Q,0)</f>
        <v>-1591764.2856023083</v>
      </c>
      <c r="R11" s="99">
        <f>_xlfn.XLOOKUP($A11,'P&amp;L ACTUALS'!$A:$A,'P&amp;L ACTUALS'!R:R,0)</f>
        <v>-1581072.5929686164</v>
      </c>
      <c r="S11" s="99">
        <f>_xlfn.XLOOKUP($A11,'P&amp;L ACTUALS'!$A:$A,'P&amp;L ACTUALS'!S:S,0)</f>
        <v>-1592239.5109132777</v>
      </c>
      <c r="T11" s="100">
        <f>_xlfn.XLOOKUP(TRIM($A11),'Budget (from Controlling)_copy'!$B:$B,'Budget (from Controlling)_copy'!C:C,0)</f>
        <v>-1539741.8983129349</v>
      </c>
      <c r="U11" s="99">
        <f>_xlfn.XLOOKUP(TRIM($A11),'Budget (from Controlling)_copy'!$B:$B,'Budget (from Controlling)_copy'!D:D,0)</f>
        <v>-1539741.8983129349</v>
      </c>
      <c r="V11" s="99">
        <f>_xlfn.XLOOKUP(TRIM($A11),'Budget (from Controlling)_copy'!$B:$B,'Budget (from Controlling)_copy'!E:E,0)</f>
        <v>-1539741.8983129349</v>
      </c>
      <c r="W11" s="99">
        <f>_xlfn.XLOOKUP(TRIM($A11),'Budget (from Controlling)_copy'!$B:$B,'Budget (from Controlling)_copy'!F:F,0)</f>
        <v>-1539741.8983129349</v>
      </c>
      <c r="X11" s="99">
        <f>_xlfn.XLOOKUP(TRIM($A11),'Budget (from Controlling)_copy'!$B:$B,'Budget (from Controlling)_copy'!G:G,0)</f>
        <v>-1539741.8983129349</v>
      </c>
      <c r="Y11" s="99">
        <f>_xlfn.XLOOKUP(TRIM($A11),'Budget (from Controlling)_copy'!$B:$B,'Budget (from Controlling)_copy'!H:H,0)</f>
        <v>-1539741.8983129349</v>
      </c>
    </row>
    <row r="12" spans="1:25" x14ac:dyDescent="0.25">
      <c r="A12" s="26" t="s">
        <v>101</v>
      </c>
      <c r="B12" s="32">
        <f>_xlfn.XLOOKUP($A12,'P&amp;L ACTUALS'!$A:$A,'P&amp;L ACTUALS'!B:B,0)</f>
        <v>-555504.43782212515</v>
      </c>
      <c r="C12" s="32">
        <f>_xlfn.XLOOKUP($A12,'P&amp;L ACTUALS'!$A:$A,'P&amp;L ACTUALS'!C:C,0)</f>
        <v>-611920.60978982924</v>
      </c>
      <c r="D12" s="32">
        <f>_xlfn.XLOOKUP($A12,'P&amp;L ACTUALS'!$A:$A,'P&amp;L ACTUALS'!D:D,0)</f>
        <v>-712614.06686968368</v>
      </c>
      <c r="E12" s="32">
        <f>_xlfn.XLOOKUP($A12,'P&amp;L ACTUALS'!$A:$A,'P&amp;L ACTUALS'!E:E,0)</f>
        <v>-746636.60592336848</v>
      </c>
      <c r="F12" s="32">
        <f>_xlfn.XLOOKUP($A12,'P&amp;L ACTUALS'!$A:$A,'P&amp;L ACTUALS'!F:F,0)</f>
        <v>-671683.76005500008</v>
      </c>
      <c r="G12" s="32">
        <f>_xlfn.XLOOKUP($A12,'P&amp;L ACTUALS'!$A:$A,'P&amp;L ACTUALS'!G:G,0)</f>
        <v>-634858.81910000008</v>
      </c>
      <c r="H12" s="32">
        <f>_xlfn.XLOOKUP($A12,'P&amp;L ACTUALS'!$A:$A,'P&amp;L ACTUALS'!H:H,0)</f>
        <v>-514634.98987450008</v>
      </c>
      <c r="I12" s="32">
        <f>_xlfn.XLOOKUP($A12,'P&amp;L ACTUALS'!$A:$A,'P&amp;L ACTUALS'!I:I,0)</f>
        <v>-467551.58392993192</v>
      </c>
      <c r="J12" s="32">
        <f>_xlfn.XLOOKUP($A12,'P&amp;L ACTUALS'!$A:$A,'P&amp;L ACTUALS'!J:J,0)</f>
        <v>-744992.51191299409</v>
      </c>
      <c r="K12" s="32">
        <f>_xlfn.XLOOKUP($A12,'P&amp;L ACTUALS'!$A:$A,'P&amp;L ACTUALS'!K:K,0)</f>
        <v>-974337.12748088769</v>
      </c>
      <c r="L12" s="32">
        <f>_xlfn.XLOOKUP($A12,'P&amp;L ACTUALS'!$A:$A,'P&amp;L ACTUALS'!L:L,0)</f>
        <v>-870296.32697899465</v>
      </c>
      <c r="M12" s="32">
        <f>_xlfn.XLOOKUP($A12,'P&amp;L ACTUALS'!$A:$A,'P&amp;L ACTUALS'!M:M,0)</f>
        <v>-645070.5080329125</v>
      </c>
      <c r="N12" s="97">
        <f>_xlfn.XLOOKUP($A12,'P&amp;L ACTUALS'!$A:$A,'P&amp;L ACTUALS'!N:N,0)</f>
        <v>-573154.50525299995</v>
      </c>
      <c r="O12" s="32">
        <f>_xlfn.XLOOKUP($A12,'P&amp;L ACTUALS'!$A:$A,'P&amp;L ACTUALS'!O:O,0)</f>
        <v>-605023.02103809325</v>
      </c>
      <c r="P12" s="32">
        <f>_xlfn.XLOOKUP($A12,'P&amp;L ACTUALS'!$A:$A,'P&amp;L ACTUALS'!P:P,0)</f>
        <v>-684557.03908144578</v>
      </c>
      <c r="Q12" s="32">
        <f>_xlfn.XLOOKUP($A12,'P&amp;L ACTUALS'!$A:$A,'P&amp;L ACTUALS'!Q:Q,0)</f>
        <v>-651867.46725663892</v>
      </c>
      <c r="R12" s="32">
        <f>_xlfn.XLOOKUP($A12,'P&amp;L ACTUALS'!$A:$A,'P&amp;L ACTUALS'!R:R,0)</f>
        <v>-566308.49974276952</v>
      </c>
      <c r="S12" s="32">
        <f>_xlfn.XLOOKUP($A12,'P&amp;L ACTUALS'!$A:$A,'P&amp;L ACTUALS'!S:S,0)</f>
        <v>-555936.71840190014</v>
      </c>
      <c r="T12" s="97">
        <f>_xlfn.XLOOKUP(TRIM($A12),'Budget (from Controlling)_copy'!$B:$B,'Budget (from Controlling)_copy'!C:C,0)</f>
        <v>-594389.74846967391</v>
      </c>
      <c r="U12" s="32">
        <f>_xlfn.XLOOKUP(TRIM($A12),'Budget (from Controlling)_copy'!$B:$B,'Budget (from Controlling)_copy'!D:D,0)</f>
        <v>-654755.05247511726</v>
      </c>
      <c r="V12" s="32">
        <f>_xlfn.XLOOKUP(TRIM($A12),'Budget (from Controlling)_copy'!$B:$B,'Budget (from Controlling)_copy'!E:E,0)</f>
        <v>-762497.05155056156</v>
      </c>
      <c r="W12" s="32">
        <f>_xlfn.XLOOKUP(TRIM($A12),'Budget (from Controlling)_copy'!$B:$B,'Budget (from Controlling)_copy'!F:F,0)</f>
        <v>-798901.16833800438</v>
      </c>
      <c r="X12" s="32">
        <f>_xlfn.XLOOKUP(TRIM($A12),'Budget (from Controlling)_copy'!$B:$B,'Budget (from Controlling)_copy'!G:G,0)</f>
        <v>-718701.62325885019</v>
      </c>
      <c r="Y12" s="32">
        <f>_xlfn.XLOOKUP(TRIM($A12),'Budget (from Controlling)_copy'!$B:$B,'Budget (from Controlling)_copy'!H:H,0)</f>
        <v>-679298.93643700017</v>
      </c>
    </row>
    <row r="13" spans="1:25" x14ac:dyDescent="0.25">
      <c r="A13" s="101" t="s">
        <v>104</v>
      </c>
      <c r="B13" s="99">
        <f>_xlfn.XLOOKUP($A13,'P&amp;L ACTUALS'!$A:$A,'P&amp;L ACTUALS'!B:B,0)</f>
        <v>-97865.595786750011</v>
      </c>
      <c r="C13" s="99">
        <f>_xlfn.XLOOKUP($A13,'P&amp;L ACTUALS'!$A:$A,'P&amp;L ACTUALS'!C:C,0)</f>
        <v>-97865.595786750011</v>
      </c>
      <c r="D13" s="99">
        <f>_xlfn.XLOOKUP($A13,'P&amp;L ACTUALS'!$A:$A,'P&amp;L ACTUALS'!D:D,0)</f>
        <v>-97605.446573250039</v>
      </c>
      <c r="E13" s="99">
        <f>_xlfn.XLOOKUP($A13,'P&amp;L ACTUALS'!$A:$A,'P&amp;L ACTUALS'!E:E,0)</f>
        <v>-97605.446573250039</v>
      </c>
      <c r="F13" s="99">
        <f>_xlfn.XLOOKUP($A13,'P&amp;L ACTUALS'!$A:$A,'P&amp;L ACTUALS'!F:F,0)</f>
        <v>-97605.446573250039</v>
      </c>
      <c r="G13" s="99">
        <f>_xlfn.XLOOKUP($A13,'P&amp;L ACTUALS'!$A:$A,'P&amp;L ACTUALS'!G:G,0)</f>
        <v>-97610.712100000004</v>
      </c>
      <c r="H13" s="99">
        <f>_xlfn.XLOOKUP($A13,'P&amp;L ACTUALS'!$A:$A,'P&amp;L ACTUALS'!H:H,0)</f>
        <v>-97793.228500000027</v>
      </c>
      <c r="I13" s="99">
        <f>_xlfn.XLOOKUP($A13,'P&amp;L ACTUALS'!$A:$A,'P&amp;L ACTUALS'!I:I,0)</f>
        <v>-97961.04340000001</v>
      </c>
      <c r="J13" s="99">
        <f>_xlfn.XLOOKUP($A13,'P&amp;L ACTUALS'!$A:$A,'P&amp;L ACTUALS'!J:J,0)</f>
        <v>-97755.343400000012</v>
      </c>
      <c r="K13" s="99">
        <f>_xlfn.XLOOKUP($A13,'P&amp;L ACTUALS'!$A:$A,'P&amp;L ACTUALS'!K:K,0)</f>
        <v>-97755.343400000012</v>
      </c>
      <c r="L13" s="99">
        <f>_xlfn.XLOOKUP($A13,'P&amp;L ACTUALS'!$A:$A,'P&amp;L ACTUALS'!L:L,0)</f>
        <v>-97755.343400000012</v>
      </c>
      <c r="M13" s="99">
        <f>_xlfn.XLOOKUP($A13,'P&amp;L ACTUALS'!$A:$A,'P&amp;L ACTUALS'!M:M,0)</f>
        <v>-97755.343400000012</v>
      </c>
      <c r="N13" s="100">
        <f>_xlfn.XLOOKUP($A13,'P&amp;L ACTUALS'!$A:$A,'P&amp;L ACTUALS'!N:N,0)</f>
        <v>-96777.789966000011</v>
      </c>
      <c r="O13" s="99">
        <f>_xlfn.XLOOKUP($A13,'P&amp;L ACTUALS'!$A:$A,'P&amp;L ACTUALS'!O:O,0)</f>
        <v>-96777.789966000011</v>
      </c>
      <c r="P13" s="99">
        <f>_xlfn.XLOOKUP($A13,'P&amp;L ACTUALS'!$A:$A,'P&amp;L ACTUALS'!P:P,0)</f>
        <v>-96777.789966000011</v>
      </c>
      <c r="Q13" s="99">
        <f>_xlfn.XLOOKUP($A13,'P&amp;L ACTUALS'!$A:$A,'P&amp;L ACTUALS'!Q:Q,0)</f>
        <v>-96777.789966000011</v>
      </c>
      <c r="R13" s="99">
        <f>_xlfn.XLOOKUP($A13,'P&amp;L ACTUALS'!$A:$A,'P&amp;L ACTUALS'!R:R,0)</f>
        <v>-96777.789966000011</v>
      </c>
      <c r="S13" s="99">
        <f>_xlfn.XLOOKUP($A13,'P&amp;L ACTUALS'!$A:$A,'P&amp;L ACTUALS'!S:S,0)</f>
        <v>-96777.789966000011</v>
      </c>
      <c r="T13" s="100">
        <f>_xlfn.XLOOKUP(TRIM($A13),'Budget (from Controlling)_copy'!$B:$B,'Budget (from Controlling)_copy'!C:C,0)</f>
        <v>-98844.251744617504</v>
      </c>
      <c r="U13" s="99">
        <f>_xlfn.XLOOKUP(TRIM($A13),'Budget (from Controlling)_copy'!$B:$B,'Budget (from Controlling)_copy'!D:D,0)</f>
        <v>-98844.251744617504</v>
      </c>
      <c r="V13" s="99">
        <f>_xlfn.XLOOKUP(TRIM($A13),'Budget (from Controlling)_copy'!$B:$B,'Budget (from Controlling)_copy'!E:E,0)</f>
        <v>-98581.501038982533</v>
      </c>
      <c r="W13" s="99">
        <f>_xlfn.XLOOKUP(TRIM($A13),'Budget (from Controlling)_copy'!$B:$B,'Budget (from Controlling)_copy'!F:F,0)</f>
        <v>-98581.501038982533</v>
      </c>
      <c r="X13" s="99">
        <f>_xlfn.XLOOKUP(TRIM($A13),'Budget (from Controlling)_copy'!$B:$B,'Budget (from Controlling)_copy'!G:G,0)</f>
        <v>-98581.501038982533</v>
      </c>
      <c r="Y13" s="99">
        <f>_xlfn.XLOOKUP(TRIM($A13),'Budget (from Controlling)_copy'!$B:$B,'Budget (from Controlling)_copy'!H:H,0)</f>
        <v>-98586.819221000012</v>
      </c>
    </row>
    <row r="14" spans="1:25" x14ac:dyDescent="0.25">
      <c r="A14" s="26" t="s">
        <v>103</v>
      </c>
      <c r="B14" s="32">
        <f>_xlfn.XLOOKUP($A14,'P&amp;L ACTUALS'!$A:$A,'P&amp;L ACTUALS'!B:B,0)</f>
        <v>-12827.642847250003</v>
      </c>
      <c r="C14" s="32">
        <f>_xlfn.XLOOKUP($A14,'P&amp;L ACTUALS'!$A:$A,'P&amp;L ACTUALS'!C:C,0)</f>
        <v>-8990.7802792500006</v>
      </c>
      <c r="D14" s="32">
        <f>_xlfn.XLOOKUP($A14,'P&amp;L ACTUALS'!$A:$A,'P&amp;L ACTUALS'!D:D,0)</f>
        <v>0</v>
      </c>
      <c r="E14" s="32">
        <f>_xlfn.XLOOKUP($A14,'P&amp;L ACTUALS'!$A:$A,'P&amp;L ACTUALS'!E:E,0)</f>
        <v>-3847.8000000000006</v>
      </c>
      <c r="F14" s="32">
        <f>_xlfn.XLOOKUP($A14,'P&amp;L ACTUALS'!$A:$A,'P&amp;L ACTUALS'!F:F,0)</f>
        <v>-7295.2231000000002</v>
      </c>
      <c r="G14" s="32">
        <f>_xlfn.XLOOKUP($A14,'P&amp;L ACTUALS'!$A:$A,'P&amp;L ACTUALS'!G:G,0)</f>
        <v>-7630.3810000000012</v>
      </c>
      <c r="H14" s="32">
        <f>_xlfn.XLOOKUP($A14,'P&amp;L ACTUALS'!$A:$A,'P&amp;L ACTUALS'!H:H,0)</f>
        <v>-10130.797600000002</v>
      </c>
      <c r="I14" s="32">
        <f>_xlfn.XLOOKUP($A14,'P&amp;L ACTUALS'!$A:$A,'P&amp;L ACTUALS'!I:I,0)</f>
        <v>-1985.7673000000004</v>
      </c>
      <c r="J14" s="32">
        <f>_xlfn.XLOOKUP($A14,'P&amp;L ACTUALS'!$A:$A,'P&amp;L ACTUALS'!J:J,0)</f>
        <v>0</v>
      </c>
      <c r="K14" s="32">
        <f>_xlfn.XLOOKUP($A14,'P&amp;L ACTUALS'!$A:$A,'P&amp;L ACTUALS'!K:K,0)</f>
        <v>-10368.163300000002</v>
      </c>
      <c r="L14" s="32">
        <f>_xlfn.XLOOKUP($A14,'P&amp;L ACTUALS'!$A:$A,'P&amp;L ACTUALS'!L:L,0)</f>
        <v>-5253.4328000000014</v>
      </c>
      <c r="M14" s="32">
        <f>_xlfn.XLOOKUP($A14,'P&amp;L ACTUALS'!$A:$A,'P&amp;L ACTUALS'!M:M,0)</f>
        <v>-6869.5330000000013</v>
      </c>
      <c r="N14" s="97">
        <f>_xlfn.XLOOKUP($A14,'P&amp;L ACTUALS'!$A:$A,'P&amp;L ACTUALS'!N:N,0)</f>
        <v>-12843.859842000002</v>
      </c>
      <c r="O14" s="32">
        <f>_xlfn.XLOOKUP($A14,'P&amp;L ACTUALS'!$A:$A,'P&amp;L ACTUALS'!O:O,0)</f>
        <v>-9002.1466260000016</v>
      </c>
      <c r="P14" s="32">
        <f>_xlfn.XLOOKUP($A14,'P&amp;L ACTUALS'!$A:$A,'P&amp;L ACTUALS'!P:P,0)</f>
        <v>-674.07030900000018</v>
      </c>
      <c r="Q14" s="32">
        <f>_xlfn.XLOOKUP($A14,'P&amp;L ACTUALS'!$A:$A,'P&amp;L ACTUALS'!Q:Q,0)</f>
        <v>-782.94744000000003</v>
      </c>
      <c r="R14" s="32">
        <f>_xlfn.XLOOKUP($A14,'P&amp;L ACTUALS'!$A:$A,'P&amp;L ACTUALS'!R:R,0)</f>
        <v>-1103.4935010000002</v>
      </c>
      <c r="S14" s="32">
        <f>_xlfn.XLOOKUP($A14,'P&amp;L ACTUALS'!$A:$A,'P&amp;L ACTUALS'!S:S,0)</f>
        <v>-4852.5611310000004</v>
      </c>
      <c r="T14" s="97">
        <f>_xlfn.XLOOKUP(TRIM($A14),'Budget (from Controlling)_copy'!$B:$B,'Budget (from Controlling)_copy'!C:C,0)</f>
        <v>-14849.600051047786</v>
      </c>
      <c r="U14" s="32">
        <f>_xlfn.XLOOKUP(TRIM($A14),'Budget (from Controlling)_copy'!$B:$B,'Budget (from Controlling)_copy'!D:D,0)</f>
        <v>-10407.952020766785</v>
      </c>
      <c r="V14" s="32">
        <f>_xlfn.XLOOKUP(TRIM($A14),'Budget (from Controlling)_copy'!$B:$B,'Budget (from Controlling)_copy'!E:E,0)</f>
        <v>0</v>
      </c>
      <c r="W14" s="32">
        <f>_xlfn.XLOOKUP(TRIM($A14),'Budget (from Controlling)_copy'!$B:$B,'Budget (from Controlling)_copy'!F:F,0)</f>
        <v>-4454.3094750000009</v>
      </c>
      <c r="X14" s="32">
        <f>_xlfn.XLOOKUP(TRIM($A14),'Budget (from Controlling)_copy'!$B:$B,'Budget (from Controlling)_copy'!G:G,0)</f>
        <v>-8445.132641137503</v>
      </c>
      <c r="Y14" s="32">
        <f>_xlfn.XLOOKUP(TRIM($A14),'Budget (from Controlling)_copy'!$B:$B,'Budget (from Controlling)_copy'!H:H,0)</f>
        <v>-8833.119805125003</v>
      </c>
    </row>
    <row r="15" spans="1:25" x14ac:dyDescent="0.25">
      <c r="A15" s="101" t="s">
        <v>102</v>
      </c>
      <c r="B15" s="99">
        <f>_xlfn.XLOOKUP($A15,'P&amp;L ACTUALS'!$A:$A,'P&amp;L ACTUALS'!B:B,0)</f>
        <v>-17658.308619875002</v>
      </c>
      <c r="C15" s="99">
        <f>_xlfn.XLOOKUP($A15,'P&amp;L ACTUALS'!$A:$A,'P&amp;L ACTUALS'!C:C,0)</f>
        <v>-12474.306497125004</v>
      </c>
      <c r="D15" s="99">
        <f>_xlfn.XLOOKUP($A15,'P&amp;L ACTUALS'!$A:$A,'P&amp;L ACTUALS'!D:D,0)</f>
        <v>-27809.405800000008</v>
      </c>
      <c r="E15" s="99">
        <f>_xlfn.XLOOKUP($A15,'P&amp;L ACTUALS'!$A:$A,'P&amp;L ACTUALS'!E:E,0)</f>
        <v>-24312.893000000004</v>
      </c>
      <c r="F15" s="99">
        <f>_xlfn.XLOOKUP($A15,'P&amp;L ACTUALS'!$A:$A,'P&amp;L ACTUALS'!F:F,0)</f>
        <v>-16361.728900000002</v>
      </c>
      <c r="G15" s="99">
        <f>_xlfn.XLOOKUP($A15,'P&amp;L ACTUALS'!$A:$A,'P&amp;L ACTUALS'!G:G,0)</f>
        <v>-19434.378700000005</v>
      </c>
      <c r="H15" s="99">
        <f>_xlfn.XLOOKUP($A15,'P&amp;L ACTUALS'!$A:$A,'P&amp;L ACTUALS'!H:H,0)</f>
        <v>-15649.728600000004</v>
      </c>
      <c r="I15" s="99">
        <f>_xlfn.XLOOKUP($A15,'P&amp;L ACTUALS'!$A:$A,'P&amp;L ACTUALS'!I:I,0)</f>
        <v>-13303.127200000001</v>
      </c>
      <c r="J15" s="99">
        <f>_xlfn.XLOOKUP($A15,'P&amp;L ACTUALS'!$A:$A,'P&amp;L ACTUALS'!J:J,0)</f>
        <v>-15401.618100000002</v>
      </c>
      <c r="K15" s="99">
        <f>_xlfn.XLOOKUP($A15,'P&amp;L ACTUALS'!$A:$A,'P&amp;L ACTUALS'!K:K,0)</f>
        <v>-17775.553400000004</v>
      </c>
      <c r="L15" s="99">
        <f>_xlfn.XLOOKUP($A15,'P&amp;L ACTUALS'!$A:$A,'P&amp;L ACTUALS'!L:L,0)</f>
        <v>-13832.030300000002</v>
      </c>
      <c r="M15" s="99">
        <f>_xlfn.XLOOKUP($A15,'P&amp;L ACTUALS'!$A:$A,'P&amp;L ACTUALS'!M:M,0)</f>
        <v>-33357.733840750006</v>
      </c>
      <c r="N15" s="100">
        <f>_xlfn.XLOOKUP($A15,'P&amp;L ACTUALS'!$A:$A,'P&amp;L ACTUALS'!N:N,0)</f>
        <v>-17680.632651000004</v>
      </c>
      <c r="O15" s="99">
        <f>_xlfn.XLOOKUP($A15,'P&amp;L ACTUALS'!$A:$A,'P&amp;L ACTUALS'!O:O,0)</f>
        <v>-10325.981853000001</v>
      </c>
      <c r="P15" s="99">
        <f>_xlfn.XLOOKUP($A15,'P&amp;L ACTUALS'!$A:$A,'P&amp;L ACTUALS'!P:P,0)</f>
        <v>-9534.6131760000026</v>
      </c>
      <c r="Q15" s="99">
        <f>_xlfn.XLOOKUP($A15,'P&amp;L ACTUALS'!$A:$A,'P&amp;L ACTUALS'!Q:Q,0)</f>
        <v>-14689.272708000004</v>
      </c>
      <c r="R15" s="99">
        <f>_xlfn.XLOOKUP($A15,'P&amp;L ACTUALS'!$A:$A,'P&amp;L ACTUALS'!R:R,0)</f>
        <v>-14917.041414000003</v>
      </c>
      <c r="S15" s="99">
        <f>_xlfn.XLOOKUP($A15,'P&amp;L ACTUALS'!$A:$A,'P&amp;L ACTUALS'!S:S,0)</f>
        <v>-24189.206679000006</v>
      </c>
      <c r="T15" s="100">
        <f>_xlfn.XLOOKUP(TRIM($A15),'Budget (from Controlling)_copy'!$B:$B,'Budget (from Controlling)_copy'!C:C,0)</f>
        <v>-17658.308619875002</v>
      </c>
      <c r="U15" s="99">
        <f>_xlfn.XLOOKUP(TRIM($A15),'Budget (from Controlling)_copy'!$B:$B,'Budget (from Controlling)_copy'!D:D,0)</f>
        <v>-12474.306497125002</v>
      </c>
      <c r="V15" s="99">
        <f>_xlfn.XLOOKUP(TRIM($A15),'Budget (from Controlling)_copy'!$B:$B,'Budget (from Controlling)_copy'!E:E,0)</f>
        <v>-15709.405800000002</v>
      </c>
      <c r="W15" s="99">
        <f>_xlfn.XLOOKUP(TRIM($A15),'Budget (from Controlling)_copy'!$B:$B,'Budget (from Controlling)_copy'!F:F,0)</f>
        <v>-14632.893000000002</v>
      </c>
      <c r="X15" s="99">
        <f>_xlfn.XLOOKUP(TRIM($A15),'Budget (from Controlling)_copy'!$B:$B,'Budget (from Controlling)_copy'!G:G,0)</f>
        <v>-16361.728900000002</v>
      </c>
      <c r="Y15" s="99">
        <f>_xlfn.XLOOKUP(TRIM($A15),'Budget (from Controlling)_copy'!$B:$B,'Budget (from Controlling)_copy'!H:H,0)</f>
        <v>-20406.097635000009</v>
      </c>
    </row>
    <row r="16" spans="1:25" x14ac:dyDescent="0.25">
      <c r="A16" s="26" t="s">
        <v>122</v>
      </c>
      <c r="B16" s="32">
        <f>_xlfn.XLOOKUP($A16,'P&amp;L ACTUALS'!$A:$A,'P&amp;L ACTUALS'!B:B,0)</f>
        <v>-98762.063294125008</v>
      </c>
      <c r="C16" s="32">
        <f>_xlfn.XLOOKUP($A16,'P&amp;L ACTUALS'!$A:$A,'P&amp;L ACTUALS'!C:C,0)</f>
        <v>-42260.904917</v>
      </c>
      <c r="D16" s="32">
        <f>_xlfn.XLOOKUP($A16,'P&amp;L ACTUALS'!$A:$A,'P&amp;L ACTUALS'!D:D,0)</f>
        <v>-64307.628000000012</v>
      </c>
      <c r="E16" s="32">
        <f>_xlfn.XLOOKUP($A16,'P&amp;L ACTUALS'!$A:$A,'P&amp;L ACTUALS'!E:E,0)</f>
        <v>-24900.348000000002</v>
      </c>
      <c r="F16" s="32">
        <f>_xlfn.XLOOKUP($A16,'P&amp;L ACTUALS'!$A:$A,'P&amp;L ACTUALS'!F:F,0)</f>
        <v>-26122.569000000007</v>
      </c>
      <c r="G16" s="32">
        <f>_xlfn.XLOOKUP($A16,'P&amp;L ACTUALS'!$A:$A,'P&amp;L ACTUALS'!G:G,0)</f>
        <v>-60341.550500000012</v>
      </c>
      <c r="H16" s="32">
        <f>_xlfn.XLOOKUP($A16,'P&amp;L ACTUALS'!$A:$A,'P&amp;L ACTUALS'!H:H,0)</f>
        <v>-39522.000100000005</v>
      </c>
      <c r="I16" s="32">
        <f>_xlfn.XLOOKUP($A16,'P&amp;L ACTUALS'!$A:$A,'P&amp;L ACTUALS'!I:I,0)</f>
        <v>-37478.527900000001</v>
      </c>
      <c r="J16" s="32">
        <f>_xlfn.XLOOKUP($A16,'P&amp;L ACTUALS'!$A:$A,'P&amp;L ACTUALS'!J:J,0)</f>
        <v>-35038.538700000005</v>
      </c>
      <c r="K16" s="32">
        <f>_xlfn.XLOOKUP($A16,'P&amp;L ACTUALS'!$A:$A,'P&amp;L ACTUALS'!K:K,0)</f>
        <v>-36997.250400000004</v>
      </c>
      <c r="L16" s="32">
        <f>_xlfn.XLOOKUP($A16,'P&amp;L ACTUALS'!$A:$A,'P&amp;L ACTUALS'!L:L,0)</f>
        <v>-38994.912000000004</v>
      </c>
      <c r="M16" s="32">
        <f>_xlfn.XLOOKUP($A16,'P&amp;L ACTUALS'!$A:$A,'P&amp;L ACTUALS'!M:M,0)</f>
        <v>-38426.683900000004</v>
      </c>
      <c r="N16" s="97">
        <f>_xlfn.XLOOKUP($A16,'P&amp;L ACTUALS'!$A:$A,'P&amp;L ACTUALS'!N:N,0)</f>
        <v>-98886.92051700002</v>
      </c>
      <c r="O16" s="32">
        <f>_xlfn.XLOOKUP($A16,'P&amp;L ACTUALS'!$A:$A,'P&amp;L ACTUALS'!O:O,0)</f>
        <v>-42314.332104000001</v>
      </c>
      <c r="P16" s="32">
        <f>_xlfn.XLOOKUP($A16,'P&amp;L ACTUALS'!$A:$A,'P&amp;L ACTUALS'!P:P,0)</f>
        <v>-75793.24130400001</v>
      </c>
      <c r="Q16" s="32">
        <f>_xlfn.XLOOKUP($A16,'P&amp;L ACTUALS'!$A:$A,'P&amp;L ACTUALS'!Q:Q,0)</f>
        <v>-36622.234737000006</v>
      </c>
      <c r="R16" s="32">
        <f>_xlfn.XLOOKUP($A16,'P&amp;L ACTUALS'!$A:$A,'P&amp;L ACTUALS'!R:R,0)</f>
        <v>-34524.975375000009</v>
      </c>
      <c r="S16" s="32">
        <f>_xlfn.XLOOKUP($A16,'P&amp;L ACTUALS'!$A:$A,'P&amp;L ACTUALS'!S:S,0)</f>
        <v>-35273.147778000006</v>
      </c>
      <c r="T16" s="97">
        <f>_xlfn.XLOOKUP(TRIM($A16),'Budget (from Controlling)_copy'!$B:$B,'Budget (from Controlling)_copy'!C:C,0)</f>
        <v>-103700.16645883126</v>
      </c>
      <c r="U16" s="32">
        <f>_xlfn.XLOOKUP(TRIM($A16),'Budget (from Controlling)_copy'!$B:$B,'Budget (from Controlling)_copy'!D:D,0)</f>
        <v>-44373.950162850007</v>
      </c>
      <c r="V16" s="32">
        <f>_xlfn.XLOOKUP(TRIM($A16),'Budget (from Controlling)_copy'!$B:$B,'Budget (from Controlling)_copy'!E:E,0)</f>
        <v>-67523.009400000024</v>
      </c>
      <c r="W16" s="32">
        <f>_xlfn.XLOOKUP(TRIM($A16),'Budget (from Controlling)_copy'!$B:$B,'Budget (from Controlling)_copy'!F:F,0)</f>
        <v>-26145.365400000006</v>
      </c>
      <c r="X16" s="32">
        <f>_xlfn.XLOOKUP(TRIM($A16),'Budget (from Controlling)_copy'!$B:$B,'Budget (from Controlling)_copy'!G:G,0)</f>
        <v>-27428.697450000003</v>
      </c>
      <c r="Y16" s="32">
        <f>_xlfn.XLOOKUP(TRIM($A16),'Budget (from Controlling)_copy'!$B:$B,'Budget (from Controlling)_copy'!H:H,0)</f>
        <v>-63358.628025000013</v>
      </c>
    </row>
    <row r="17" spans="1:25" x14ac:dyDescent="0.25">
      <c r="A17" s="98" t="s">
        <v>23</v>
      </c>
      <c r="B17" s="99">
        <f>_xlfn.XLOOKUP($A17,'P&amp;L ACTUALS'!$A:$A,'P&amp;L ACTUALS'!B:B,0)</f>
        <v>-2337754.1270706821</v>
      </c>
      <c r="C17" s="99">
        <f>_xlfn.XLOOKUP($A17,'P&amp;L ACTUALS'!$A:$A,'P&amp;L ACTUALS'!C:C,0)</f>
        <v>-2336110.766942359</v>
      </c>
      <c r="D17" s="99">
        <f>_xlfn.XLOOKUP($A17,'P&amp;L ACTUALS'!$A:$A,'P&amp;L ACTUALS'!D:D,0)</f>
        <v>-2470148.5347489058</v>
      </c>
      <c r="E17" s="99">
        <f>_xlfn.XLOOKUP($A17,'P&amp;L ACTUALS'!$A:$A,'P&amp;L ACTUALS'!E:E,0)</f>
        <v>-2441566.2435437609</v>
      </c>
      <c r="F17" s="99">
        <f>_xlfn.XLOOKUP($A17,'P&amp;L ACTUALS'!$A:$A,'P&amp;L ACTUALS'!F:F,0)</f>
        <v>-2359059.8762731645</v>
      </c>
      <c r="G17" s="99">
        <f>_xlfn.XLOOKUP($A17,'P&amp;L ACTUALS'!$A:$A,'P&amp;L ACTUALS'!G:G,0)</f>
        <v>-2367964.617451807</v>
      </c>
      <c r="H17" s="99">
        <f>_xlfn.XLOOKUP($A17,'P&amp;L ACTUALS'!$A:$A,'P&amp;L ACTUALS'!H:H,0)</f>
        <v>-2216584.2908747382</v>
      </c>
      <c r="I17" s="99">
        <f>_xlfn.XLOOKUP($A17,'P&amp;L ACTUALS'!$A:$A,'P&amp;L ACTUALS'!I:I,0)</f>
        <v>-2161406.5702862195</v>
      </c>
      <c r="J17" s="99">
        <f>_xlfn.XLOOKUP($A17,'P&amp;L ACTUALS'!$A:$A,'P&amp;L ACTUALS'!J:J,0)</f>
        <v>-2491803.0742785907</v>
      </c>
      <c r="K17" s="99">
        <f>_xlfn.XLOOKUP($A17,'P&amp;L ACTUALS'!$A:$A,'P&amp;L ACTUALS'!K:K,0)</f>
        <v>-2716996.9253838314</v>
      </c>
      <c r="L17" s="99">
        <f>_xlfn.XLOOKUP($A17,'P&amp;L ACTUALS'!$A:$A,'P&amp;L ACTUALS'!L:L,0)</f>
        <v>-2606554.9182598926</v>
      </c>
      <c r="M17" s="99">
        <f>_xlfn.XLOOKUP($A17,'P&amp;L ACTUALS'!$A:$A,'P&amp;L ACTUALS'!M:M,0)</f>
        <v>-2492744.5169490133</v>
      </c>
      <c r="N17" s="100">
        <f>_xlfn.XLOOKUP($A17,'P&amp;L ACTUALS'!$A:$A,'P&amp;L ACTUALS'!N:N,0)</f>
        <v>-2373063.4661338371</v>
      </c>
      <c r="O17" s="99">
        <f>_xlfn.XLOOKUP($A17,'P&amp;L ACTUALS'!$A:$A,'P&amp;L ACTUALS'!O:O,0)</f>
        <v>-2356777.3111779531</v>
      </c>
      <c r="P17" s="99">
        <f>_xlfn.XLOOKUP($A17,'P&amp;L ACTUALS'!$A:$A,'P&amp;L ACTUALS'!P:P,0)</f>
        <v>-2462522.4392632325</v>
      </c>
      <c r="Q17" s="99">
        <f>_xlfn.XLOOKUP($A17,'P&amp;L ACTUALS'!$A:$A,'P&amp;L ACTUALS'!Q:Q,0)</f>
        <v>-2392503.9977099472</v>
      </c>
      <c r="R17" s="99">
        <f>_xlfn.XLOOKUP($A17,'P&amp;L ACTUALS'!$A:$A,'P&amp;L ACTUALS'!R:R,0)</f>
        <v>-2294704.3929673857</v>
      </c>
      <c r="S17" s="99">
        <f>_xlfn.XLOOKUP($A17,'P&amp;L ACTUALS'!$A:$A,'P&amp;L ACTUALS'!S:S,0)</f>
        <v>-2309268.9348691781</v>
      </c>
      <c r="T17" s="100">
        <f>_xlfn.XLOOKUP(TRIM($A17),'Budget (from Controlling)_copy'!$B:$B,'Budget (from Controlling)_copy'!C:C,0)</f>
        <v>-2369183.9736569803</v>
      </c>
      <c r="U17" s="99">
        <f>_xlfn.XLOOKUP(TRIM($A17),'Budget (from Controlling)_copy'!$B:$B,'Budget (from Controlling)_copy'!D:D,0)</f>
        <v>-2360597.4112134115</v>
      </c>
      <c r="V17" s="99">
        <f>_xlfn.XLOOKUP(TRIM($A17),'Budget (from Controlling)_copy'!$B:$B,'Budget (from Controlling)_copy'!E:E,0)</f>
        <v>-2484052.8661024785</v>
      </c>
      <c r="W17" s="99">
        <f>_xlfn.XLOOKUP(TRIM($A17),'Budget (from Controlling)_copy'!$B:$B,'Budget (from Controlling)_copy'!F:F,0)</f>
        <v>-2482457.1355649219</v>
      </c>
      <c r="X17" s="99">
        <f>_xlfn.XLOOKUP(TRIM($A17),'Budget (from Controlling)_copy'!$B:$B,'Budget (from Controlling)_copy'!G:G,0)</f>
        <v>-2409260.5816019052</v>
      </c>
      <c r="Y17" s="99">
        <f>_xlfn.XLOOKUP(TRIM($A17),'Budget (from Controlling)_copy'!$B:$B,'Budget (from Controlling)_copy'!H:H,0)</f>
        <v>-2410225.4994360604</v>
      </c>
    </row>
    <row r="18" spans="1:25" x14ac:dyDescent="0.25">
      <c r="A18" s="102" t="s">
        <v>24</v>
      </c>
      <c r="B18" s="103">
        <f>_xlfn.XLOOKUP($A18,'P&amp;L ACTUALS'!$A:$A,'P&amp;L ACTUALS'!B:B,0)</f>
        <v>13028.879961256869</v>
      </c>
      <c r="C18" s="103">
        <f>_xlfn.XLOOKUP($A18,'P&amp;L ACTUALS'!$A:$A,'P&amp;L ACTUALS'!C:C,0)</f>
        <v>873043.62891762005</v>
      </c>
      <c r="D18" s="103">
        <f>_xlfn.XLOOKUP($A18,'P&amp;L ACTUALS'!$A:$A,'P&amp;L ACTUALS'!D:D,0)</f>
        <v>2110234.731094724</v>
      </c>
      <c r="E18" s="103">
        <f>_xlfn.XLOOKUP($A18,'P&amp;L ACTUALS'!$A:$A,'P&amp;L ACTUALS'!E:E,0)</f>
        <v>2009575.9696349567</v>
      </c>
      <c r="F18" s="103">
        <f>_xlfn.XLOOKUP($A18,'P&amp;L ACTUALS'!$A:$A,'P&amp;L ACTUALS'!F:F,0)</f>
        <v>1600280.8199710157</v>
      </c>
      <c r="G18" s="103">
        <f>_xlfn.XLOOKUP($A18,'P&amp;L ACTUALS'!$A:$A,'P&amp;L ACTUALS'!G:G,0)</f>
        <v>839256.7148644221</v>
      </c>
      <c r="H18" s="103">
        <f>_xlfn.XLOOKUP($A18,'P&amp;L ACTUALS'!$A:$A,'P&amp;L ACTUALS'!H:H,0)</f>
        <v>198708.62786181085</v>
      </c>
      <c r="I18" s="103">
        <f>_xlfn.XLOOKUP($A18,'P&amp;L ACTUALS'!$A:$A,'P&amp;L ACTUALS'!I:I,0)</f>
        <v>839962.82439667406</v>
      </c>
      <c r="J18" s="103">
        <f>_xlfn.XLOOKUP($A18,'P&amp;L ACTUALS'!$A:$A,'P&amp;L ACTUALS'!J:J,0)</f>
        <v>1998289.0273409118</v>
      </c>
      <c r="K18" s="103">
        <f>_xlfn.XLOOKUP($A18,'P&amp;L ACTUALS'!$A:$A,'P&amp;L ACTUALS'!K:K,0)</f>
        <v>1276259.1641698917</v>
      </c>
      <c r="L18" s="103">
        <f>_xlfn.XLOOKUP($A18,'P&amp;L ACTUALS'!$A:$A,'P&amp;L ACTUALS'!L:L,0)</f>
        <v>1748192.1035890337</v>
      </c>
      <c r="M18" s="103">
        <f>_xlfn.XLOOKUP($A18,'P&amp;L ACTUALS'!$A:$A,'P&amp;L ACTUALS'!M:M,0)</f>
        <v>1655883.0034360564</v>
      </c>
      <c r="N18" s="104">
        <f>_xlfn.XLOOKUP($A18,'P&amp;L ACTUALS'!$A:$A,'P&amp;L ACTUALS'!N:N,0)</f>
        <v>-451763.02555170981</v>
      </c>
      <c r="O18" s="103">
        <f>_xlfn.XLOOKUP($A18,'P&amp;L ACTUALS'!$A:$A,'P&amp;L ACTUALS'!O:O,0)</f>
        <v>265949.31307317037</v>
      </c>
      <c r="P18" s="103">
        <f>_xlfn.XLOOKUP($A18,'P&amp;L ACTUALS'!$A:$A,'P&amp;L ACTUALS'!P:P,0)</f>
        <v>1094397.7434874098</v>
      </c>
      <c r="Q18" s="103">
        <f>_xlfn.XLOOKUP($A18,'P&amp;L ACTUALS'!$A:$A,'P&amp;L ACTUALS'!Q:Q,0)</f>
        <v>393835.88418833772</v>
      </c>
      <c r="R18" s="103">
        <f>_xlfn.XLOOKUP($A18,'P&amp;L ACTUALS'!$A:$A,'P&amp;L ACTUALS'!R:R,0)</f>
        <v>720552.52096246416</v>
      </c>
      <c r="S18" s="103">
        <f>_xlfn.XLOOKUP($A18,'P&amp;L ACTUALS'!$A:$A,'P&amp;L ACTUALS'!S:S,0)</f>
        <v>330700.68494541338</v>
      </c>
      <c r="T18" s="104">
        <f>_xlfn.XLOOKUP(TRIM($A18),'Budget (from Controlling)_copy'!$B:$B,'Budget (from Controlling)_copy'!C:C,0)</f>
        <v>157711.01661201939</v>
      </c>
      <c r="U18" s="103">
        <f>_xlfn.XLOOKUP(TRIM($A18),'Budget (from Controlling)_copy'!$B:$B,'Budget (from Controlling)_copy'!D:D,0)</f>
        <v>1070145.5691772304</v>
      </c>
      <c r="V18" s="103">
        <f>_xlfn.XLOOKUP(TRIM($A18),'Budget (from Controlling)_copy'!$B:$B,'Budget (from Controlling)_copy'!E:E,0)</f>
        <v>2310084.1653657174</v>
      </c>
      <c r="W18" s="103">
        <f>_xlfn.XLOOKUP(TRIM($A18),'Budget (from Controlling)_copy'!$B:$B,'Budget (from Controlling)_copy'!F:F,0)</f>
        <v>2099136.5623099073</v>
      </c>
      <c r="X18" s="103">
        <f>_xlfn.XLOOKUP(TRIM($A18),'Budget (from Controlling)_copy'!$B:$B,'Budget (from Controlling)_copy'!G:G,0)</f>
        <v>1756669.288971649</v>
      </c>
      <c r="Y18" s="103">
        <f>_xlfn.XLOOKUP(TRIM($A18),'Budget (from Controlling)_copy'!$B:$B,'Budget (from Controlling)_copy'!H:H,0)</f>
        <v>1027297.7655348661</v>
      </c>
    </row>
    <row r="23" spans="1:25" x14ac:dyDescent="0.25">
      <c r="C23" s="25"/>
      <c r="D23" s="25"/>
      <c r="E23" s="25"/>
      <c r="F23" s="25"/>
      <c r="G23" s="25"/>
      <c r="H23" s="25"/>
      <c r="I23" s="25"/>
    </row>
    <row r="24" spans="1:25" x14ac:dyDescent="0.25">
      <c r="C24" s="25"/>
      <c r="D24" s="25"/>
      <c r="E24" s="25"/>
      <c r="F24" s="25"/>
      <c r="G24" s="25"/>
      <c r="H24" s="25"/>
      <c r="I24" s="25"/>
    </row>
    <row r="25" spans="1:25" x14ac:dyDescent="0.25">
      <c r="C25" s="25"/>
      <c r="D25" s="25"/>
      <c r="E25" s="25"/>
      <c r="F25" s="25"/>
      <c r="G25" s="25"/>
      <c r="H25" s="25"/>
      <c r="I25" s="25"/>
    </row>
    <row r="26" spans="1:25" x14ac:dyDescent="0.25">
      <c r="C26" s="25"/>
      <c r="D26" s="25"/>
      <c r="E26" s="25"/>
      <c r="F26" s="25"/>
      <c r="G26" s="25"/>
      <c r="H26" s="25"/>
      <c r="I26" s="25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549F-48D7-47BD-9895-CDC5F28D8F28}">
  <sheetPr>
    <tabColor rgb="FF92D050"/>
  </sheetPr>
  <dimension ref="A1:AL24"/>
  <sheetViews>
    <sheetView showGridLines="0"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8" sqref="F28"/>
    </sheetView>
  </sheetViews>
  <sheetFormatPr defaultRowHeight="15" x14ac:dyDescent="0.25"/>
  <cols>
    <col min="1" max="1" width="21.7109375" bestFit="1" customWidth="1"/>
    <col min="2" max="4" width="12.140625" bestFit="1" customWidth="1"/>
    <col min="5" max="5" width="11.5703125" style="10" bestFit="1" customWidth="1"/>
    <col min="6" max="6" width="11.85546875" bestFit="1" customWidth="1"/>
    <col min="7" max="9" width="12.140625" bestFit="1" customWidth="1"/>
    <col min="10" max="10" width="11.5703125" bestFit="1" customWidth="1"/>
    <col min="11" max="11" width="11.85546875" bestFit="1" customWidth="1"/>
    <col min="12" max="14" width="12.140625" bestFit="1" customWidth="1"/>
    <col min="15" max="15" width="11.5703125" bestFit="1" customWidth="1"/>
    <col min="16" max="16" width="11.85546875" bestFit="1" customWidth="1"/>
    <col min="17" max="19" width="12.140625" bestFit="1" customWidth="1"/>
    <col min="20" max="20" width="11.5703125" bestFit="1" customWidth="1"/>
    <col min="21" max="21" width="11.85546875" bestFit="1" customWidth="1"/>
    <col min="22" max="24" width="12.140625" bestFit="1" customWidth="1"/>
    <col min="25" max="25" width="11.5703125" bestFit="1" customWidth="1"/>
    <col min="26" max="26" width="11.85546875" bestFit="1" customWidth="1"/>
    <col min="27" max="29" width="12.140625" bestFit="1" customWidth="1"/>
    <col min="30" max="30" width="11.5703125" bestFit="1" customWidth="1"/>
    <col min="31" max="31" width="11.85546875" bestFit="1" customWidth="1"/>
    <col min="32" max="34" width="12.7109375" bestFit="1" customWidth="1"/>
    <col min="35" max="35" width="12.140625" bestFit="1" customWidth="1"/>
    <col min="36" max="36" width="11.85546875" bestFit="1" customWidth="1"/>
    <col min="38" max="38" width="7.5703125" bestFit="1" customWidth="1"/>
  </cols>
  <sheetData>
    <row r="1" spans="1:38" ht="24.75" customHeight="1" x14ac:dyDescent="0.25">
      <c r="A1" s="123" t="s">
        <v>170</v>
      </c>
      <c r="B1" s="123"/>
      <c r="C1" s="123"/>
      <c r="D1" s="123"/>
      <c r="E1" s="123"/>
      <c r="F1" s="123"/>
      <c r="G1" s="123"/>
      <c r="H1" s="123"/>
    </row>
    <row r="3" spans="1:38" s="41" customFormat="1" ht="13.5" customHeight="1" thickBot="1" x14ac:dyDescent="0.25">
      <c r="A3" s="41" t="s">
        <v>167</v>
      </c>
      <c r="B3" s="41" t="s">
        <v>141</v>
      </c>
      <c r="C3" s="41" t="s">
        <v>142</v>
      </c>
      <c r="D3" s="41" t="s">
        <v>143</v>
      </c>
      <c r="E3" s="42"/>
      <c r="G3" s="41" t="s">
        <v>144</v>
      </c>
      <c r="H3" s="41" t="s">
        <v>145</v>
      </c>
      <c r="I3" s="41" t="s">
        <v>146</v>
      </c>
      <c r="L3" s="41" t="s">
        <v>147</v>
      </c>
      <c r="M3" s="41" t="s">
        <v>148</v>
      </c>
      <c r="N3" s="41" t="s">
        <v>149</v>
      </c>
      <c r="Q3" s="41" t="s">
        <v>150</v>
      </c>
      <c r="R3" s="41" t="s">
        <v>151</v>
      </c>
      <c r="S3" s="41" t="s">
        <v>152</v>
      </c>
      <c r="V3" s="41" t="s">
        <v>153</v>
      </c>
      <c r="W3" s="41" t="s">
        <v>154</v>
      </c>
      <c r="X3" s="41" t="s">
        <v>155</v>
      </c>
      <c r="AA3" s="41" t="s">
        <v>156</v>
      </c>
      <c r="AB3" s="41" t="s">
        <v>157</v>
      </c>
      <c r="AC3" s="41" t="s">
        <v>158</v>
      </c>
    </row>
    <row r="4" spans="1:38" s="26" customFormat="1" ht="15.75" thickBot="1" x14ac:dyDescent="0.3">
      <c r="A4" s="124" t="s">
        <v>106</v>
      </c>
      <c r="B4" s="129" t="s">
        <v>127</v>
      </c>
      <c r="C4" s="129"/>
      <c r="D4" s="129"/>
      <c r="E4" s="129"/>
      <c r="F4" s="130"/>
      <c r="G4" s="131" t="s">
        <v>128</v>
      </c>
      <c r="H4" s="129"/>
      <c r="I4" s="129"/>
      <c r="J4" s="129"/>
      <c r="K4" s="130"/>
      <c r="L4" s="131" t="s">
        <v>129</v>
      </c>
      <c r="M4" s="129"/>
      <c r="N4" s="129"/>
      <c r="O4" s="129"/>
      <c r="P4" s="130"/>
      <c r="Q4" s="131" t="s">
        <v>130</v>
      </c>
      <c r="R4" s="129"/>
      <c r="S4" s="129"/>
      <c r="T4" s="129"/>
      <c r="U4" s="130"/>
      <c r="V4" s="131" t="s">
        <v>131</v>
      </c>
      <c r="W4" s="129"/>
      <c r="X4" s="129"/>
      <c r="Y4" s="129"/>
      <c r="Z4" s="130"/>
      <c r="AA4" s="131" t="s">
        <v>132</v>
      </c>
      <c r="AB4" s="129"/>
      <c r="AC4" s="129"/>
      <c r="AD4" s="129"/>
      <c r="AE4" s="130"/>
      <c r="AF4" s="126" t="s">
        <v>133</v>
      </c>
      <c r="AG4" s="127"/>
      <c r="AH4" s="127"/>
      <c r="AI4" s="127"/>
      <c r="AJ4" s="128"/>
      <c r="AK4" s="27"/>
      <c r="AL4" s="28"/>
    </row>
    <row r="5" spans="1:38" s="22" customFormat="1" x14ac:dyDescent="0.25">
      <c r="A5" s="125"/>
      <c r="B5" s="45" t="s">
        <v>124</v>
      </c>
      <c r="C5" s="43" t="s">
        <v>125</v>
      </c>
      <c r="D5" s="44" t="s">
        <v>134</v>
      </c>
      <c r="E5" s="46" t="s">
        <v>169</v>
      </c>
      <c r="F5" s="47" t="s">
        <v>126</v>
      </c>
      <c r="G5" s="48" t="s">
        <v>124</v>
      </c>
      <c r="H5" s="43" t="s">
        <v>125</v>
      </c>
      <c r="I5" s="44" t="s">
        <v>134</v>
      </c>
      <c r="J5" s="46" t="s">
        <v>169</v>
      </c>
      <c r="K5" s="47" t="s">
        <v>126</v>
      </c>
      <c r="L5" s="48" t="s">
        <v>124</v>
      </c>
      <c r="M5" s="43" t="s">
        <v>125</v>
      </c>
      <c r="N5" s="44" t="s">
        <v>134</v>
      </c>
      <c r="O5" s="46" t="s">
        <v>169</v>
      </c>
      <c r="P5" s="47" t="s">
        <v>126</v>
      </c>
      <c r="Q5" s="48" t="s">
        <v>124</v>
      </c>
      <c r="R5" s="43" t="s">
        <v>125</v>
      </c>
      <c r="S5" s="44" t="s">
        <v>134</v>
      </c>
      <c r="T5" s="46" t="s">
        <v>169</v>
      </c>
      <c r="U5" s="47" t="s">
        <v>126</v>
      </c>
      <c r="V5" s="48" t="s">
        <v>124</v>
      </c>
      <c r="W5" s="43" t="s">
        <v>125</v>
      </c>
      <c r="X5" s="44" t="s">
        <v>134</v>
      </c>
      <c r="Y5" s="46" t="s">
        <v>169</v>
      </c>
      <c r="Z5" s="47" t="s">
        <v>126</v>
      </c>
      <c r="AA5" s="48" t="s">
        <v>124</v>
      </c>
      <c r="AB5" s="43" t="s">
        <v>125</v>
      </c>
      <c r="AC5" s="44" t="s">
        <v>134</v>
      </c>
      <c r="AD5" s="46" t="s">
        <v>169</v>
      </c>
      <c r="AE5" s="47" t="s">
        <v>126</v>
      </c>
      <c r="AF5" s="45" t="s">
        <v>124</v>
      </c>
      <c r="AG5" s="43" t="s">
        <v>125</v>
      </c>
      <c r="AH5" s="44" t="s">
        <v>134</v>
      </c>
      <c r="AI5" s="46" t="s">
        <v>169</v>
      </c>
      <c r="AJ5" s="47" t="s">
        <v>126</v>
      </c>
    </row>
    <row r="6" spans="1:38" s="36" customFormat="1" x14ac:dyDescent="0.25">
      <c r="A6" s="64" t="s">
        <v>96</v>
      </c>
      <c r="B6" s="49">
        <f>_xlfn.IFNA(INDEX('P&amp;L ACTUALS+EST'!$B$3:$Y$18,MATCH('P&amp;L MONTHLY'!$A6,'P&amp;L ACTUALS+EST'!$A$3:$A$18,0),MATCH('P&amp;L MONTHLY'!B$3,'P&amp;L ACTUALS+EST'!$B$2:$Y$2,0)),0)</f>
        <v>18270176.999999996</v>
      </c>
      <c r="C6" s="49">
        <f>_xlfn.IFNA(INDEX('P&amp;L ACTUALS+EST'!$B$3:$Y$18,MATCH('P&amp;L MONTHLY'!$A6,'P&amp;L ACTUALS+EST'!$A$3:$A$18,0),MATCH('P&amp;L MONTHLY'!C$3,'P&amp;L ACTUALS+EST'!$B$2:$Y$2,0)),0)</f>
        <v>17902923.465115197</v>
      </c>
      <c r="D6" s="49">
        <f>_xlfn.IFNA(INDEX('P&amp;L ACTUALS+EST'!$B$3:$Y$18,MATCH('P&amp;L MONTHLY'!$A6,'P&amp;L ACTUALS+EST'!$A$3:$A$18,0),MATCH('P&amp;L MONTHLY'!D$3,'P&amp;L ACTUALS+EST'!$B$2:$Y$2,0)),0)</f>
        <v>18928135.072498478</v>
      </c>
      <c r="E6" s="49">
        <f>B6-D6</f>
        <v>-657958.07249848172</v>
      </c>
      <c r="F6" s="50">
        <f>(B6-D6)/D6</f>
        <v>-3.4760850447145109E-2</v>
      </c>
      <c r="G6" s="49">
        <f>_xlfn.IFNA(INDEX('P&amp;L ACTUALS+EST'!$B$3:$Y$18,MATCH('P&amp;L MONTHLY'!$A6,'P&amp;L ACTUALS+EST'!$A$3:$A$18,0),MATCH('P&amp;L MONTHLY'!G$3,'P&amp;L ACTUALS+EST'!$B$2:$Y$2,0)),0)</f>
        <v>24091844.500000004</v>
      </c>
      <c r="H6" s="49">
        <f>_xlfn.IFNA(INDEX('P&amp;L ACTUALS+EST'!$B$3:$Y$18,MATCH('P&amp;L MONTHLY'!$A6,'P&amp;L ACTUALS+EST'!$A$3:$A$18,0),MATCH('P&amp;L MONTHLY'!H$3,'P&amp;L ACTUALS+EST'!$B$2:$Y$2,0)),0)</f>
        <v>23598619.406511802</v>
      </c>
      <c r="I6" s="49">
        <f>_xlfn.IFNA(INDEX('P&amp;L ACTUALS+EST'!$B$3:$Y$18,MATCH('P&amp;L MONTHLY'!$A6,'P&amp;L ACTUALS+EST'!$A$3:$A$18,0),MATCH('P&amp;L MONTHLY'!I$3,'P&amp;L ACTUALS+EST'!$B$2:$Y$2,0)),0)</f>
        <v>24920142.093276463</v>
      </c>
      <c r="J6" s="49">
        <f>G6-I6</f>
        <v>-828297.59327645972</v>
      </c>
      <c r="K6" s="50">
        <f>J6/I6</f>
        <v>-3.3238076660082015E-2</v>
      </c>
      <c r="L6" s="49">
        <f>_xlfn.IFNA(INDEX('P&amp;L ACTUALS+EST'!$B$3:$Y$18,MATCH('P&amp;L MONTHLY'!$A6,'P&amp;L ACTUALS+EST'!$A$3:$A$18,0),MATCH('P&amp;L MONTHLY'!L$3,'P&amp;L ACTUALS+EST'!$B$2:$Y$2,0)),0)</f>
        <v>29060427.939999994</v>
      </c>
      <c r="M6" s="49">
        <f>_xlfn.IFNA(INDEX('P&amp;L ACTUALS+EST'!$B$3:$Y$18,MATCH('P&amp;L MONTHLY'!$A6,'P&amp;L ACTUALS+EST'!$A$3:$A$18,0),MATCH('P&amp;L MONTHLY'!M$3,'P&amp;L ACTUALS+EST'!$B$2:$Y$2,0)),0)</f>
        <v>32077218.41</v>
      </c>
      <c r="N6" s="49">
        <f>_xlfn.IFNA(INDEX('P&amp;L ACTUALS+EST'!$B$3:$Y$18,MATCH('P&amp;L MONTHLY'!$A6,'P&amp;L ACTUALS+EST'!$A$3:$A$18,0),MATCH('P&amp;L MONTHLY'!N$3,'P&amp;L ACTUALS+EST'!$B$2:$Y$2,0)),0)</f>
        <v>33841465.42255</v>
      </c>
      <c r="O6" s="49">
        <f>L6-N6</f>
        <v>-4781037.4825500064</v>
      </c>
      <c r="P6" s="50">
        <f>O6/N6</f>
        <v>-0.14127749560644612</v>
      </c>
      <c r="Q6" s="49">
        <f>_xlfn.IFNA(INDEX('P&amp;L ACTUALS+EST'!$B$3:$Y$18,MATCH('P&amp;L MONTHLY'!$A6,'P&amp;L ACTUALS+EST'!$A$3:$A$18,0),MATCH('P&amp;L MONTHLY'!Q$3,'P&amp;L ACTUALS+EST'!$B$2:$Y$2,0)),0)</f>
        <v>21989688.709999997</v>
      </c>
      <c r="R6" s="49">
        <f>_xlfn.IFNA(INDEX('P&amp;L ACTUALS+EST'!$B$3:$Y$18,MATCH('P&amp;L MONTHLY'!$A6,'P&amp;L ACTUALS+EST'!$A$3:$A$18,0),MATCH('P&amp;L MONTHLY'!R$3,'P&amp;L ACTUALS+EST'!$B$2:$Y$2,0)),0)</f>
        <v>30007803.209999993</v>
      </c>
      <c r="S6" s="49">
        <f>_xlfn.IFNA(INDEX('P&amp;L ACTUALS+EST'!$B$3:$Y$18,MATCH('P&amp;L MONTHLY'!$A6,'P&amp;L ACTUALS+EST'!$A$3:$A$18,0),MATCH('P&amp;L MONTHLY'!S$3,'P&amp;L ACTUALS+EST'!$B$2:$Y$2,0)),0)</f>
        <v>31628224.583339993</v>
      </c>
      <c r="T6" s="49">
        <f>Q6-S6</f>
        <v>-9638535.8733399957</v>
      </c>
      <c r="U6" s="50">
        <f>T6/S6</f>
        <v>-0.30474476516829357</v>
      </c>
      <c r="V6" s="49">
        <f>_xlfn.IFNA(INDEX('P&amp;L ACTUALS+EST'!$B$3:$Y$18,MATCH('P&amp;L MONTHLY'!$A6,'P&amp;L ACTUALS+EST'!$A$3:$A$18,0),MATCH('P&amp;L MONTHLY'!V$3,'P&amp;L ACTUALS+EST'!$B$2:$Y$2,0)),0)</f>
        <v>23404056.190000001</v>
      </c>
      <c r="W6" s="49">
        <f>_xlfn.IFNA(INDEX('P&amp;L ACTUALS+EST'!$B$3:$Y$18,MATCH('P&amp;L MONTHLY'!$A6,'P&amp;L ACTUALS+EST'!$A$3:$A$18,0),MATCH('P&amp;L MONTHLY'!W$3,'P&amp;L ACTUALS+EST'!$B$2:$Y$2,0)),0)</f>
        <v>26992973.580000002</v>
      </c>
      <c r="X6" s="49">
        <f>_xlfn.IFNA(INDEX('P&amp;L ACTUALS+EST'!$B$3:$Y$18,MATCH('P&amp;L MONTHLY'!$A6,'P&amp;L ACTUALS+EST'!$A$3:$A$18,0),MATCH('P&amp;L MONTHLY'!X$3,'P&amp;L ACTUALS+EST'!$B$2:$Y$2,0)),0)</f>
        <v>28396608.206160001</v>
      </c>
      <c r="Y6" s="49">
        <f>V6-X6</f>
        <v>-4992552.0161600001</v>
      </c>
      <c r="Z6" s="50">
        <f>Y6/X6</f>
        <v>-0.17581508255894374</v>
      </c>
      <c r="AA6" s="49">
        <f>_xlfn.IFNA(INDEX('P&amp;L ACTUALS+EST'!$B$3:$Y$18,MATCH('P&amp;L MONTHLY'!$A6,'P&amp;L ACTUALS+EST'!$A$3:$A$18,0),MATCH('P&amp;L MONTHLY'!AA$3,'P&amp;L ACTUALS+EST'!$B$2:$Y$2,0)),0)</f>
        <v>21139929.449999999</v>
      </c>
      <c r="AB6" s="49">
        <f>_xlfn.IFNA(INDEX('P&amp;L ACTUALS+EST'!$B$3:$Y$18,MATCH('P&amp;L MONTHLY'!$A6,'P&amp;L ACTUALS+EST'!$A$3:$A$18,0),MATCH('P&amp;L MONTHLY'!AB$3,'P&amp;L ACTUALS+EST'!$B$2:$Y$2,0)),0)</f>
        <v>21786030.530000001</v>
      </c>
      <c r="AC6" s="49">
        <f>_xlfn.IFNA(INDEX('P&amp;L ACTUALS+EST'!$B$3:$Y$18,MATCH('P&amp;L MONTHLY'!$A6,'P&amp;L ACTUALS+EST'!$A$3:$A$18,0),MATCH('P&amp;L MONTHLY'!AC$3,'P&amp;L ACTUALS+EST'!$B$2:$Y$2,0)),0)</f>
        <v>22853546.025970001</v>
      </c>
      <c r="AD6" s="49">
        <f>AA6-AC6</f>
        <v>-1713616.5759700015</v>
      </c>
      <c r="AE6" s="50">
        <f>AD6/AC6</f>
        <v>-7.4982524551013022E-2</v>
      </c>
      <c r="AF6" s="49">
        <f>SUMIF($B$5:$AE$5,AF$5,$B6:$AE6)</f>
        <v>137956123.78999999</v>
      </c>
      <c r="AG6" s="49">
        <f>SUMIF($B$5:$AE$5,AG$5,$B6:$AE6)</f>
        <v>152365568.60162699</v>
      </c>
      <c r="AH6" s="49">
        <f>SUMIF($B$5:$AE$5,AH$5,$B6:$AE6)</f>
        <v>160568121.40379494</v>
      </c>
      <c r="AI6" s="49">
        <f>AF6-AG6</f>
        <v>-14409444.811627001</v>
      </c>
      <c r="AJ6" s="55">
        <f>(AF6-AH6)/AH6</f>
        <v>-0.14082494966065243</v>
      </c>
    </row>
    <row r="7" spans="1:38" s="36" customFormat="1" x14ac:dyDescent="0.25">
      <c r="A7" s="64" t="s">
        <v>15</v>
      </c>
      <c r="B7" s="49">
        <f>_xlfn.IFNA(INDEX('P&amp;L ACTUALS+EST'!$B$3:$Y$18,MATCH('P&amp;L MONTHLY'!$A7,'P&amp;L ACTUALS+EST'!$A$3:$A$18,0),MATCH('P&amp;L MONTHLY'!B$3,'P&amp;L ACTUALS+EST'!$B$2:$Y$2,0)),0)</f>
        <v>-11180487.919501811</v>
      </c>
      <c r="C7" s="49">
        <f>_xlfn.IFNA(INDEX('P&amp;L ACTUALS+EST'!$B$3:$Y$18,MATCH('P&amp;L MONTHLY'!$A7,'P&amp;L ACTUALS+EST'!$A$3:$A$18,0),MATCH('P&amp;L MONTHLY'!C$3,'P&amp;L ACTUALS+EST'!$B$2:$Y$2,0)),0)</f>
        <v>-10999311.522297639</v>
      </c>
      <c r="D7" s="49">
        <f>_xlfn.IFNA(INDEX('P&amp;L ACTUALS+EST'!$B$3:$Y$18,MATCH('P&amp;L MONTHLY'!$A7,'P&amp;L ACTUALS+EST'!$A$3:$A$18,0),MATCH('P&amp;L MONTHLY'!D$3,'P&amp;L ACTUALS+EST'!$B$2:$Y$2,0)),0)</f>
        <v>-11379260.889478678</v>
      </c>
      <c r="E7" s="49">
        <f>B7-D7</f>
        <v>198772.96997686662</v>
      </c>
      <c r="F7" s="50">
        <f t="shared" ref="F7:F22" si="0">(B7-D7)/D7</f>
        <v>-1.7468003581906897E-2</v>
      </c>
      <c r="G7" s="49">
        <f>_xlfn.IFNA(INDEX('P&amp;L ACTUALS+EST'!$B$3:$Y$18,MATCH('P&amp;L MONTHLY'!$A7,'P&amp;L ACTUALS+EST'!$A$3:$A$18,0),MATCH('P&amp;L MONTHLY'!G$3,'P&amp;L ACTUALS+EST'!$B$2:$Y$2,0)),0)</f>
        <v>-14710137.404876884</v>
      </c>
      <c r="H7" s="49">
        <f>_xlfn.IFNA(INDEX('P&amp;L ACTUALS+EST'!$B$3:$Y$18,MATCH('P&amp;L MONTHLY'!$A7,'P&amp;L ACTUALS+EST'!$A$3:$A$18,0),MATCH('P&amp;L MONTHLY'!H$3,'P&amp;L ACTUALS+EST'!$B$2:$Y$2,0)),0)</f>
        <v>-14453912.40067677</v>
      </c>
      <c r="I7" s="49">
        <f>_xlfn.IFNA(INDEX('P&amp;L ACTUALS+EST'!$B$3:$Y$18,MATCH('P&amp;L MONTHLY'!$A7,'P&amp;L ACTUALS+EST'!$A$3:$A$18,0),MATCH('P&amp;L MONTHLY'!I$3,'P&amp;L ACTUALS+EST'!$B$2:$Y$2,0)),0)</f>
        <v>-14940672.270526728</v>
      </c>
      <c r="J7" s="49">
        <f>G7-I7</f>
        <v>230534.86564984359</v>
      </c>
      <c r="K7" s="50">
        <f t="shared" ref="K7:K24" si="1">J7/I7</f>
        <v>-1.5430019578477519E-2</v>
      </c>
      <c r="L7" s="49">
        <f>_xlfn.IFNA(INDEX('P&amp;L ACTUALS+EST'!$B$3:$Y$18,MATCH('P&amp;L MONTHLY'!$A7,'P&amp;L ACTUALS+EST'!$A$3:$A$18,0),MATCH('P&amp;L MONTHLY'!L$3,'P&amp;L ACTUALS+EST'!$B$2:$Y$2,0)),0)</f>
        <v>-17618862.723317973</v>
      </c>
      <c r="M7" s="49">
        <f>_xlfn.IFNA(INDEX('P&amp;L ACTUALS+EST'!$B$3:$Y$18,MATCH('P&amp;L MONTHLY'!$A7,'P&amp;L ACTUALS+EST'!$A$3:$A$18,0),MATCH('P&amp;L MONTHLY'!M$3,'P&amp;L ACTUALS+EST'!$B$2:$Y$2,0)),0)</f>
        <v>-19635609.368750732</v>
      </c>
      <c r="N7" s="49">
        <f>_xlfn.IFNA(INDEX('P&amp;L ACTUALS+EST'!$B$3:$Y$18,MATCH('P&amp;L MONTHLY'!$A7,'P&amp;L ACTUALS+EST'!$A$3:$A$18,0),MATCH('P&amp;L MONTHLY'!N$3,'P&amp;L ACTUALS+EST'!$B$2:$Y$2,0)),0)</f>
        <v>-20325399.297635794</v>
      </c>
      <c r="O7" s="49">
        <f>L7-N7</f>
        <v>2706536.5743178204</v>
      </c>
      <c r="P7" s="50">
        <f t="shared" ref="P7:P24" si="2">O7/N7</f>
        <v>-0.13316031506611725</v>
      </c>
      <c r="Q7" s="49">
        <f>_xlfn.IFNA(INDEX('P&amp;L ACTUALS+EST'!$B$3:$Y$18,MATCH('P&amp;L MONTHLY'!$A7,'P&amp;L ACTUALS+EST'!$A$3:$A$18,0),MATCH('P&amp;L MONTHLY'!Q$3,'P&amp;L ACTUALS+EST'!$B$2:$Y$2,0)),0)</f>
        <v>-13284155.515628133</v>
      </c>
      <c r="R7" s="49">
        <f>_xlfn.IFNA(INDEX('P&amp;L ACTUALS+EST'!$B$3:$Y$18,MATCH('P&amp;L MONTHLY'!$A7,'P&amp;L ACTUALS+EST'!$A$3:$A$18,0),MATCH('P&amp;L MONTHLY'!R$3,'P&amp;L ACTUALS+EST'!$B$2:$Y$2,0)),0)</f>
        <v>-18283547.537973501</v>
      </c>
      <c r="S7" s="49">
        <f>_xlfn.IFNA(INDEX('P&amp;L ACTUALS+EST'!$B$3:$Y$18,MATCH('P&amp;L MONTHLY'!$A7,'P&amp;L ACTUALS+EST'!$A$3:$A$18,0),MATCH('P&amp;L MONTHLY'!S$3,'P&amp;L ACTUALS+EST'!$B$2:$Y$2,0)),0)</f>
        <v>-18975128.868847851</v>
      </c>
      <c r="T7" s="49">
        <f>Q7-S7</f>
        <v>5690973.3532197177</v>
      </c>
      <c r="U7" s="50">
        <f t="shared" ref="U7:U24" si="3">T7/S7</f>
        <v>-0.29991750741481354</v>
      </c>
      <c r="V7" s="49">
        <f>_xlfn.IFNA(INDEX('P&amp;L ACTUALS+EST'!$B$3:$Y$18,MATCH('P&amp;L MONTHLY'!$A7,'P&amp;L ACTUALS+EST'!$A$3:$A$18,0),MATCH('P&amp;L MONTHLY'!V$3,'P&amp;L ACTUALS+EST'!$B$2:$Y$2,0)),0)</f>
        <v>-14091384.983087417</v>
      </c>
      <c r="W7" s="49">
        <f>_xlfn.IFNA(INDEX('P&amp;L ACTUALS+EST'!$B$3:$Y$18,MATCH('P&amp;L MONTHLY'!$A7,'P&amp;L ACTUALS+EST'!$A$3:$A$18,0),MATCH('P&amp;L MONTHLY'!W$3,'P&amp;L ACTUALS+EST'!$B$2:$Y$2,0)),0)</f>
        <v>-16447792.101544585</v>
      </c>
      <c r="X7" s="49">
        <f>_xlfn.IFNA(INDEX('P&amp;L ACTUALS+EST'!$B$3:$Y$18,MATCH('P&amp;L MONTHLY'!$A7,'P&amp;L ACTUALS+EST'!$A$3:$A$18,0),MATCH('P&amp;L MONTHLY'!X$3,'P&amp;L ACTUALS+EST'!$B$2:$Y$2,0)),0)</f>
        <v>-17054295.842964519</v>
      </c>
      <c r="Y7" s="49">
        <f>V7-X7</f>
        <v>2962910.8598771021</v>
      </c>
      <c r="Z7" s="50">
        <f t="shared" ref="Z7:Z24" si="4">Y7/X7</f>
        <v>-0.17373398979116481</v>
      </c>
      <c r="AA7" s="49">
        <f>_xlfn.IFNA(INDEX('P&amp;L ACTUALS+EST'!$B$3:$Y$18,MATCH('P&amp;L MONTHLY'!$A7,'P&amp;L ACTUALS+EST'!$A$3:$A$18,0),MATCH('P&amp;L MONTHLY'!AA$3,'P&amp;L ACTUALS+EST'!$B$2:$Y$2,0)),0)</f>
        <v>-12846079.263740903</v>
      </c>
      <c r="AB7" s="49">
        <f>_xlfn.IFNA(INDEX('P&amp;L ACTUALS+EST'!$B$3:$Y$18,MATCH('P&amp;L MONTHLY'!$A7,'P&amp;L ACTUALS+EST'!$A$3:$A$18,0),MATCH('P&amp;L MONTHLY'!AB$3,'P&amp;L ACTUALS+EST'!$B$2:$Y$2,0)),0)</f>
        <v>-13391748.90616479</v>
      </c>
      <c r="AC7" s="49">
        <f>_xlfn.IFNA(INDEX('P&amp;L ACTUALS+EST'!$B$3:$Y$18,MATCH('P&amp;L MONTHLY'!$A7,'P&amp;L ACTUALS+EST'!$A$3:$A$18,0),MATCH('P&amp;L MONTHLY'!AC$3,'P&amp;L ACTUALS+EST'!$B$2:$Y$2,0)),0)</f>
        <v>-13728918.022774482</v>
      </c>
      <c r="AD7" s="49">
        <f>AA7-AC7</f>
        <v>882838.75903357938</v>
      </c>
      <c r="AE7" s="50">
        <f t="shared" ref="AE7:AE24" si="5">AD7/AC7</f>
        <v>-6.4305049936860662E-2</v>
      </c>
      <c r="AF7" s="49">
        <f t="shared" ref="AF7:AH23" si="6">SUMIF($B$5:$AE$5,AF$5,$B7:$AE7)</f>
        <v>-83731107.810153112</v>
      </c>
      <c r="AG7" s="49">
        <f t="shared" si="6"/>
        <v>-93211921.837408021</v>
      </c>
      <c r="AH7" s="49">
        <f t="shared" si="6"/>
        <v>-96403675.192228049</v>
      </c>
      <c r="AI7" s="49">
        <f t="shared" ref="AI7:AI23" si="7">AF7-AG7</f>
        <v>9480814.0272549093</v>
      </c>
      <c r="AJ7" s="55">
        <f t="shared" ref="AJ7:AJ23" si="8">(AF7-AH7)/AH7</f>
        <v>-0.1314531562910434</v>
      </c>
    </row>
    <row r="8" spans="1:38" s="36" customFormat="1" x14ac:dyDescent="0.25">
      <c r="A8" s="64" t="s">
        <v>97</v>
      </c>
      <c r="B8" s="49">
        <f>_xlfn.IFNA(INDEX('P&amp;L ACTUALS+EST'!$B$3:$Y$18,MATCH('P&amp;L MONTHLY'!$A8,'P&amp;L ACTUALS+EST'!$A$3:$A$18,0),MATCH('P&amp;L MONTHLY'!B$3,'P&amp;L ACTUALS+EST'!$B$2:$Y$2,0)),0)</f>
        <v>7089689.080498185</v>
      </c>
      <c r="C8" s="49">
        <f>_xlfn.IFNA(INDEX('P&amp;L ACTUALS+EST'!$B$3:$Y$18,MATCH('P&amp;L MONTHLY'!$A8,'P&amp;L ACTUALS+EST'!$A$3:$A$18,0),MATCH('P&amp;L MONTHLY'!C$3,'P&amp;L ACTUALS+EST'!$B$2:$Y$2,0)),0)</f>
        <v>6903611.9428175576</v>
      </c>
      <c r="D8" s="49">
        <f>_xlfn.IFNA(INDEX('P&amp;L ACTUALS+EST'!$B$3:$Y$18,MATCH('P&amp;L MONTHLY'!$A8,'P&amp;L ACTUALS+EST'!$A$3:$A$18,0),MATCH('P&amp;L MONTHLY'!D$3,'P&amp;L ACTUALS+EST'!$B$2:$Y$2,0)),0)</f>
        <v>7548874.1830198001</v>
      </c>
      <c r="E8" s="49">
        <f t="shared" ref="E8:E23" si="9">B8-D8</f>
        <v>-459185.1025216151</v>
      </c>
      <c r="F8" s="50">
        <f t="shared" si="0"/>
        <v>-6.0828289277160247E-2</v>
      </c>
      <c r="G8" s="49">
        <f>_xlfn.IFNA(INDEX('P&amp;L ACTUALS+EST'!$B$3:$Y$18,MATCH('P&amp;L MONTHLY'!$A8,'P&amp;L ACTUALS+EST'!$A$3:$A$18,0),MATCH('P&amp;L MONTHLY'!G$3,'P&amp;L ACTUALS+EST'!$B$2:$Y$2,0)),0)</f>
        <v>9381707.0951231197</v>
      </c>
      <c r="H8" s="49">
        <f>_xlfn.IFNA(INDEX('P&amp;L ACTUALS+EST'!$B$3:$Y$18,MATCH('P&amp;L MONTHLY'!$A8,'P&amp;L ACTUALS+EST'!$A$3:$A$18,0),MATCH('P&amp;L MONTHLY'!H$3,'P&amp;L ACTUALS+EST'!$B$2:$Y$2,0)),0)</f>
        <v>9144707.0058350321</v>
      </c>
      <c r="I8" s="49">
        <f>_xlfn.IFNA(INDEX('P&amp;L ACTUALS+EST'!$B$3:$Y$18,MATCH('P&amp;L MONTHLY'!$A8,'P&amp;L ACTUALS+EST'!$A$3:$A$18,0),MATCH('P&amp;L MONTHLY'!I$3,'P&amp;L ACTUALS+EST'!$B$2:$Y$2,0)),0)</f>
        <v>9979469.8227497358</v>
      </c>
      <c r="J8" s="49">
        <f t="shared" ref="J8" si="10">G8-I8</f>
        <v>-597762.72762661614</v>
      </c>
      <c r="K8" s="50">
        <f t="shared" si="1"/>
        <v>-5.9899246978424053E-2</v>
      </c>
      <c r="L8" s="49">
        <f>_xlfn.IFNA(INDEX('P&amp;L ACTUALS+EST'!$B$3:$Y$18,MATCH('P&amp;L MONTHLY'!$A8,'P&amp;L ACTUALS+EST'!$A$3:$A$18,0),MATCH('P&amp;L MONTHLY'!L$3,'P&amp;L ACTUALS+EST'!$B$2:$Y$2,0)),0)</f>
        <v>11441565.216682021</v>
      </c>
      <c r="M8" s="49">
        <f>_xlfn.IFNA(INDEX('P&amp;L ACTUALS+EST'!$B$3:$Y$18,MATCH('P&amp;L MONTHLY'!$A8,'P&amp;L ACTUALS+EST'!$A$3:$A$18,0),MATCH('P&amp;L MONTHLY'!M$3,'P&amp;L ACTUALS+EST'!$B$2:$Y$2,0)),0)</f>
        <v>12441609.041249268</v>
      </c>
      <c r="N8" s="49">
        <f>_xlfn.IFNA(INDEX('P&amp;L ACTUALS+EST'!$B$3:$Y$18,MATCH('P&amp;L MONTHLY'!$A8,'P&amp;L ACTUALS+EST'!$A$3:$A$18,0),MATCH('P&amp;L MONTHLY'!N$3,'P&amp;L ACTUALS+EST'!$B$2:$Y$2,0)),0)</f>
        <v>13516066.124914207</v>
      </c>
      <c r="O8" s="49">
        <f t="shared" ref="O8" si="11">L8-N8</f>
        <v>-2074500.908232186</v>
      </c>
      <c r="P8" s="50">
        <f t="shared" si="2"/>
        <v>-0.15348407510438647</v>
      </c>
      <c r="Q8" s="49">
        <f>_xlfn.IFNA(INDEX('P&amp;L ACTUALS+EST'!$B$3:$Y$18,MATCH('P&amp;L MONTHLY'!$A8,'P&amp;L ACTUALS+EST'!$A$3:$A$18,0),MATCH('P&amp;L MONTHLY'!Q$3,'P&amp;L ACTUALS+EST'!$B$2:$Y$2,0)),0)</f>
        <v>8705533.1943718642</v>
      </c>
      <c r="R8" s="49">
        <f>_xlfn.IFNA(INDEX('P&amp;L ACTUALS+EST'!$B$3:$Y$18,MATCH('P&amp;L MONTHLY'!$A8,'P&amp;L ACTUALS+EST'!$A$3:$A$18,0),MATCH('P&amp;L MONTHLY'!R$3,'P&amp;L ACTUALS+EST'!$B$2:$Y$2,0)),0)</f>
        <v>11724255.672026493</v>
      </c>
      <c r="S8" s="49">
        <f>_xlfn.IFNA(INDEX('P&amp;L ACTUALS+EST'!$B$3:$Y$18,MATCH('P&amp;L MONTHLY'!$A8,'P&amp;L ACTUALS+EST'!$A$3:$A$18,0),MATCH('P&amp;L MONTHLY'!S$3,'P&amp;L ACTUALS+EST'!$B$2:$Y$2,0)),0)</f>
        <v>12653095.714492142</v>
      </c>
      <c r="T8" s="49">
        <f t="shared" ref="T8" si="12">Q8-S8</f>
        <v>-3947562.520120278</v>
      </c>
      <c r="U8" s="50">
        <f t="shared" si="3"/>
        <v>-0.31198392940306002</v>
      </c>
      <c r="V8" s="49">
        <f>_xlfn.IFNA(INDEX('P&amp;L ACTUALS+EST'!$B$3:$Y$18,MATCH('P&amp;L MONTHLY'!$A8,'P&amp;L ACTUALS+EST'!$A$3:$A$18,0),MATCH('P&amp;L MONTHLY'!V$3,'P&amp;L ACTUALS+EST'!$B$2:$Y$2,0)),0)</f>
        <v>9312671.2069125846</v>
      </c>
      <c r="W8" s="49">
        <f>_xlfn.IFNA(INDEX('P&amp;L ACTUALS+EST'!$B$3:$Y$18,MATCH('P&amp;L MONTHLY'!$A8,'P&amp;L ACTUALS+EST'!$A$3:$A$18,0),MATCH('P&amp;L MONTHLY'!W$3,'P&amp;L ACTUALS+EST'!$B$2:$Y$2,0)),0)</f>
        <v>10545181.478455417</v>
      </c>
      <c r="X8" s="49">
        <f>_xlfn.IFNA(INDEX('P&amp;L ACTUALS+EST'!$B$3:$Y$18,MATCH('P&amp;L MONTHLY'!$A8,'P&amp;L ACTUALS+EST'!$A$3:$A$18,0),MATCH('P&amp;L MONTHLY'!X$3,'P&amp;L ACTUALS+EST'!$B$2:$Y$2,0)),0)</f>
        <v>11342312.363195483</v>
      </c>
      <c r="Y8" s="49">
        <f t="shared" ref="Y8" si="13">V8-X8</f>
        <v>-2029641.156282898</v>
      </c>
      <c r="Z8" s="50">
        <f t="shared" si="4"/>
        <v>-0.17894421272234165</v>
      </c>
      <c r="AA8" s="49">
        <f>_xlfn.IFNA(INDEX('P&amp;L ACTUALS+EST'!$B$3:$Y$18,MATCH('P&amp;L MONTHLY'!$A8,'P&amp;L ACTUALS+EST'!$A$3:$A$18,0),MATCH('P&amp;L MONTHLY'!AA$3,'P&amp;L ACTUALS+EST'!$B$2:$Y$2,0)),0)</f>
        <v>8293850.1862590965</v>
      </c>
      <c r="AB8" s="49">
        <f>_xlfn.IFNA(INDEX('P&amp;L ACTUALS+EST'!$B$3:$Y$18,MATCH('P&amp;L MONTHLY'!$A8,'P&amp;L ACTUALS+EST'!$A$3:$A$18,0),MATCH('P&amp;L MONTHLY'!AB$3,'P&amp;L ACTUALS+EST'!$B$2:$Y$2,0)),0)</f>
        <v>8394281.6238352116</v>
      </c>
      <c r="AC8" s="49">
        <f>_xlfn.IFNA(INDEX('P&amp;L ACTUALS+EST'!$B$3:$Y$18,MATCH('P&amp;L MONTHLY'!$A8,'P&amp;L ACTUALS+EST'!$A$3:$A$18,0),MATCH('P&amp;L MONTHLY'!AC$3,'P&amp;L ACTUALS+EST'!$B$2:$Y$2,0)),0)</f>
        <v>9124628.0031955186</v>
      </c>
      <c r="AD8" s="49">
        <f t="shared" ref="AD8" si="14">AA8-AC8</f>
        <v>-830777.81693642214</v>
      </c>
      <c r="AE8" s="50">
        <f t="shared" si="5"/>
        <v>-9.1047856049087925E-2</v>
      </c>
      <c r="AF8" s="49">
        <f t="shared" si="6"/>
        <v>54225015.979846872</v>
      </c>
      <c r="AG8" s="49">
        <f t="shared" si="6"/>
        <v>59153646.764218979</v>
      </c>
      <c r="AH8" s="49">
        <f t="shared" si="6"/>
        <v>64164446.211566888</v>
      </c>
      <c r="AI8" s="49">
        <f t="shared" si="7"/>
        <v>-4928630.7843721062</v>
      </c>
      <c r="AJ8" s="55">
        <f t="shared" si="8"/>
        <v>-0.15490557183252429</v>
      </c>
    </row>
    <row r="9" spans="1:38" s="37" customFormat="1" x14ac:dyDescent="0.25">
      <c r="A9" s="65" t="s">
        <v>165</v>
      </c>
      <c r="B9" s="40">
        <f>B8/B6</f>
        <v>0.38804709338602394</v>
      </c>
      <c r="C9" s="40">
        <f t="shared" ref="C9:D9" si="15">C8/C6</f>
        <v>0.38561366562671257</v>
      </c>
      <c r="D9" s="40">
        <f t="shared" si="15"/>
        <v>0.3988176412576373</v>
      </c>
      <c r="E9" s="40">
        <f>B9-D9</f>
        <v>-1.0770547871613356E-2</v>
      </c>
      <c r="F9" s="40">
        <f>E9/D9</f>
        <v>-2.7006197212463709E-2</v>
      </c>
      <c r="G9" s="40">
        <f>G8/G6</f>
        <v>0.38941423082500465</v>
      </c>
      <c r="H9" s="40">
        <f t="shared" ref="H9" si="16">H8/H6</f>
        <v>0.38751025423595931</v>
      </c>
      <c r="I9" s="40">
        <f t="shared" ref="I9" si="17">I8/I6</f>
        <v>0.40045798235806329</v>
      </c>
      <c r="J9" s="40">
        <f>G9-I9</f>
        <v>-1.1043751533058643E-2</v>
      </c>
      <c r="K9" s="40">
        <f t="shared" si="1"/>
        <v>-2.7577803463994993E-2</v>
      </c>
      <c r="L9" s="40">
        <f>L8/L6</f>
        <v>0.39371633619109131</v>
      </c>
      <c r="M9" s="40">
        <f t="shared" ref="M9" si="18">M8/M6</f>
        <v>0.38786433668358927</v>
      </c>
      <c r="N9" s="40">
        <f t="shared" ref="N9" si="19">N8/N6</f>
        <v>0.39939364197591398</v>
      </c>
      <c r="O9" s="40">
        <f>L9-N9</f>
        <v>-5.6773057848226727E-3</v>
      </c>
      <c r="P9" s="40">
        <f t="shared" si="2"/>
        <v>-1.421481262629877E-2</v>
      </c>
      <c r="Q9" s="40">
        <f>Q8/Q6</f>
        <v>0.39589160670623541</v>
      </c>
      <c r="R9" s="40">
        <f t="shared" ref="R9" si="20">R8/R6</f>
        <v>0.39070689680207665</v>
      </c>
      <c r="S9" s="40">
        <f t="shared" ref="S9" si="21">S8/S6</f>
        <v>0.4000570971396572</v>
      </c>
      <c r="T9" s="40">
        <f>Q9-S9</f>
        <v>-4.1654904334217924E-3</v>
      </c>
      <c r="U9" s="40">
        <f t="shared" si="3"/>
        <v>-1.0412239810777929E-2</v>
      </c>
      <c r="V9" s="40">
        <f>V8/V6</f>
        <v>0.39790842797974774</v>
      </c>
      <c r="W9" s="40">
        <f t="shared" ref="W9" si="22">W8/W6</f>
        <v>0.39066394249608333</v>
      </c>
      <c r="X9" s="40">
        <f t="shared" ref="X9" si="23">X8/X6</f>
        <v>0.39942489894743927</v>
      </c>
      <c r="Y9" s="40">
        <f>V9-X9</f>
        <v>-1.51647096769153E-3</v>
      </c>
      <c r="Z9" s="40">
        <f t="shared" si="4"/>
        <v>-3.7966360426896772E-3</v>
      </c>
      <c r="AA9" s="40">
        <f>AA8/AA6</f>
        <v>0.39233102484450805</v>
      </c>
      <c r="AB9" s="40">
        <f t="shared" ref="AB9" si="24">AB8/AB6</f>
        <v>0.38530569450345903</v>
      </c>
      <c r="AC9" s="40">
        <f t="shared" ref="AC9" si="25">AC8/AC6</f>
        <v>0.39926530407257582</v>
      </c>
      <c r="AD9" s="40">
        <f>AA9-AC9</f>
        <v>-6.9342792280677745E-3</v>
      </c>
      <c r="AE9" s="40">
        <f t="shared" si="5"/>
        <v>-1.7367597828654067E-2</v>
      </c>
      <c r="AF9" s="40">
        <f>AF8/AF6</f>
        <v>0.39305986925516584</v>
      </c>
      <c r="AG9" s="40">
        <f t="shared" ref="AG9" si="26">AG8/AG6</f>
        <v>0.38823500156312429</v>
      </c>
      <c r="AH9" s="40">
        <f t="shared" ref="AH9" si="27">AH8/AH6</f>
        <v>0.39960887410650364</v>
      </c>
      <c r="AI9" s="40">
        <f>AF9-AH9</f>
        <v>-6.549004851337803E-3</v>
      </c>
      <c r="AJ9" s="56">
        <f t="shared" ref="AJ9" si="28">AI9/AH9</f>
        <v>-1.6388537081367126E-2</v>
      </c>
    </row>
    <row r="10" spans="1:38" x14ac:dyDescent="0.25">
      <c r="A10" s="66" t="s">
        <v>107</v>
      </c>
      <c r="B10" s="51">
        <f>_xlfn.IFNA(INDEX('P&amp;L ACTUALS+EST'!$B$3:$Y$18,MATCH('P&amp;L MONTHLY'!$A10,'P&amp;L ACTUALS+EST'!$A$3:$A$18,0),MATCH('P&amp;L MONTHLY'!B$3,'P&amp;L ACTUALS+EST'!$B$2:$Y$2,0)),0)</f>
        <v>-404217.34012763639</v>
      </c>
      <c r="C10" s="51">
        <f>_xlfn.IFNA(INDEX('P&amp;L ACTUALS+EST'!$B$3:$Y$18,MATCH('P&amp;L MONTHLY'!$A10,'P&amp;L ACTUALS+EST'!$A$3:$A$18,0),MATCH('P&amp;L MONTHLY'!C$3,'P&amp;L ACTUALS+EST'!$B$2:$Y$2,0)),0)</f>
        <v>-384934.32112270466</v>
      </c>
      <c r="D10" s="51">
        <f>_xlfn.IFNA(INDEX('P&amp;L ACTUALS+EST'!$B$3:$Y$18,MATCH('P&amp;L MONTHLY'!$A10,'P&amp;L ACTUALS+EST'!$A$3:$A$18,0),MATCH('P&amp;L MONTHLY'!D$3,'P&amp;L ACTUALS+EST'!$B$2:$Y$2,0)),0)</f>
        <v>-425933.52437138214</v>
      </c>
      <c r="E10" s="51">
        <f t="shared" si="9"/>
        <v>21716.184243745753</v>
      </c>
      <c r="F10" s="39">
        <f t="shared" si="0"/>
        <v>-5.0984914314494922E-2</v>
      </c>
      <c r="G10" s="51">
        <f>_xlfn.IFNA(INDEX('P&amp;L ACTUALS+EST'!$B$3:$Y$18,MATCH('P&amp;L MONTHLY'!$A10,'P&amp;L ACTUALS+EST'!$A$3:$A$18,0),MATCH('P&amp;L MONTHLY'!G$3,'P&amp;L ACTUALS+EST'!$B$2:$Y$2,0)),0)</f>
        <v>-535002.48900314141</v>
      </c>
      <c r="H10" s="51">
        <f>_xlfn.IFNA(INDEX('P&amp;L ACTUALS+EST'!$B$3:$Y$18,MATCH('P&amp;L MONTHLY'!$A10,'P&amp;L ACTUALS+EST'!$A$3:$A$18,0),MATCH('P&amp;L MONTHLY'!H$3,'P&amp;L ACTUALS+EST'!$B$2:$Y$2,0)),0)</f>
        <v>-496888.00070691609</v>
      </c>
      <c r="I10" s="51">
        <f>_xlfn.IFNA(INDEX('P&amp;L ACTUALS+EST'!$B$3:$Y$18,MATCH('P&amp;L MONTHLY'!$A10,'P&amp;L ACTUALS+EST'!$A$3:$A$18,0),MATCH('P&amp;L MONTHLY'!I$3,'P&amp;L ACTUALS+EST'!$B$2:$Y$2,0)),0)</f>
        <v>-560769.6642574626</v>
      </c>
      <c r="J10" s="51">
        <f t="shared" ref="J10:J24" si="29">G10-I10</f>
        <v>25767.175254321191</v>
      </c>
      <c r="K10" s="39">
        <f t="shared" si="1"/>
        <v>-4.5949659720699289E-2</v>
      </c>
      <c r="L10" s="51">
        <f>_xlfn.IFNA(INDEX('P&amp;L ACTUALS+EST'!$B$3:$Y$18,MATCH('P&amp;L MONTHLY'!$A10,'P&amp;L ACTUALS+EST'!$A$3:$A$18,0),MATCH('P&amp;L MONTHLY'!L$3,'P&amp;L ACTUALS+EST'!$B$2:$Y$2,0)),0)</f>
        <v>-651196.9747210202</v>
      </c>
      <c r="M10" s="51">
        <f>_xlfn.IFNA(INDEX('P&amp;L ACTUALS+EST'!$B$3:$Y$18,MATCH('P&amp;L MONTHLY'!$A10,'P&amp;L ACTUALS+EST'!$A$3:$A$18,0),MATCH('P&amp;L MONTHLY'!M$3,'P&amp;L ACTUALS+EST'!$B$2:$Y$2,0)),0)</f>
        <v>-692136.98317624372</v>
      </c>
      <c r="N10" s="51">
        <f>_xlfn.IFNA(INDEX('P&amp;L ACTUALS+EST'!$B$3:$Y$18,MATCH('P&amp;L MONTHLY'!$A10,'P&amp;L ACTUALS+EST'!$A$3:$A$18,0),MATCH('P&amp;L MONTHLY'!N$3,'P&amp;L ACTUALS+EST'!$B$2:$Y$2,0)),0)</f>
        <v>-761523.23417545937</v>
      </c>
      <c r="O10" s="51">
        <f t="shared" ref="O10:O24" si="30">L10-N10</f>
        <v>110326.25945443916</v>
      </c>
      <c r="P10" s="39">
        <f t="shared" si="2"/>
        <v>-0.14487576281752601</v>
      </c>
      <c r="Q10" s="51">
        <f>_xlfn.IFNA(INDEX('P&amp;L ACTUALS+EST'!$B$3:$Y$18,MATCH('P&amp;L MONTHLY'!$A10,'P&amp;L ACTUALS+EST'!$A$3:$A$18,0),MATCH('P&amp;L MONTHLY'!Q$3,'P&amp;L ACTUALS+EST'!$B$2:$Y$2,0)),0)</f>
        <v>-492802.62487567309</v>
      </c>
      <c r="R10" s="51">
        <f>_xlfn.IFNA(INDEX('P&amp;L ACTUALS+EST'!$B$3:$Y$18,MATCH('P&amp;L MONTHLY'!$A10,'P&amp;L ACTUALS+EST'!$A$3:$A$18,0),MATCH('P&amp;L MONTHLY'!R$3,'P&amp;L ACTUALS+EST'!$B$2:$Y$2,0)),0)</f>
        <v>-629389.18230949261</v>
      </c>
      <c r="S10" s="51">
        <f>_xlfn.IFNA(INDEX('P&amp;L ACTUALS+EST'!$B$3:$Y$18,MATCH('P&amp;L MONTHLY'!$A10,'P&amp;L ACTUALS+EST'!$A$3:$A$18,0),MATCH('P&amp;L MONTHLY'!S$3,'P&amp;L ACTUALS+EST'!$B$2:$Y$2,0)),0)</f>
        <v>-711719.41212343529</v>
      </c>
      <c r="T10" s="51">
        <f t="shared" ref="T10:T24" si="31">Q10-S10</f>
        <v>218916.7872477622</v>
      </c>
      <c r="U10" s="39">
        <f t="shared" si="3"/>
        <v>-0.30758861360071338</v>
      </c>
      <c r="V10" s="51">
        <f>_xlfn.IFNA(INDEX('P&amp;L ACTUALS+EST'!$B$3:$Y$18,MATCH('P&amp;L MONTHLY'!$A10,'P&amp;L ACTUALS+EST'!$A$3:$A$18,0),MATCH('P&amp;L MONTHLY'!V$3,'P&amp;L ACTUALS+EST'!$B$2:$Y$2,0)),0)</f>
        <v>-524343.77136082225</v>
      </c>
      <c r="W10" s="51">
        <f>_xlfn.IFNA(INDEX('P&amp;L ACTUALS+EST'!$B$3:$Y$18,MATCH('P&amp;L MONTHLY'!$A10,'P&amp;L ACTUALS+EST'!$A$3:$A$18,0),MATCH('P&amp;L MONTHLY'!W$3,'P&amp;L ACTUALS+EST'!$B$2:$Y$2,0)),0)</f>
        <v>-579036.72301616741</v>
      </c>
      <c r="X10" s="51">
        <f>_xlfn.IFNA(INDEX('P&amp;L ACTUALS+EST'!$B$3:$Y$18,MATCH('P&amp;L MONTHLY'!$A10,'P&amp;L ACTUALS+EST'!$A$3:$A$18,0),MATCH('P&amp;L MONTHLY'!X$3,'P&amp;L ACTUALS+EST'!$B$2:$Y$2,0)),0)</f>
        <v>-638999.42424948665</v>
      </c>
      <c r="Y10" s="51">
        <f t="shared" ref="Y10:Y24" si="32">V10-X10</f>
        <v>114655.65288866439</v>
      </c>
      <c r="Z10" s="39">
        <f t="shared" si="4"/>
        <v>-0.17942997839681779</v>
      </c>
      <c r="AA10" s="51">
        <f>_xlfn.IFNA(INDEX('P&amp;L ACTUALS+EST'!$B$3:$Y$18,MATCH('P&amp;L MONTHLY'!$A10,'P&amp;L ACTUALS+EST'!$A$3:$A$18,0),MATCH('P&amp;L MONTHLY'!AA$3,'P&amp;L ACTUALS+EST'!$B$2:$Y$2,0)),0)</f>
        <v>-471907.48842224921</v>
      </c>
      <c r="AB10" s="51">
        <f>_xlfn.IFNA(INDEX('P&amp;L ACTUALS+EST'!$B$3:$Y$18,MATCH('P&amp;L MONTHLY'!$A10,'P&amp;L ACTUALS+EST'!$A$3:$A$18,0),MATCH('P&amp;L MONTHLY'!AB$3,'P&amp;L ACTUALS+EST'!$B$2:$Y$2,0)),0)</f>
        <v>-471001.97854523378</v>
      </c>
      <c r="AC10" s="51">
        <f>_xlfn.IFNA(INDEX('P&amp;L ACTUALS+EST'!$B$3:$Y$18,MATCH('P&amp;L MONTHLY'!$A10,'P&amp;L ACTUALS+EST'!$A$3:$A$18,0),MATCH('P&amp;L MONTHLY'!AC$3,'P&amp;L ACTUALS+EST'!$B$2:$Y$2,0)),0)</f>
        <v>-514265.74070512032</v>
      </c>
      <c r="AD10" s="51">
        <f t="shared" ref="AD10:AD24" si="33">AA10-AC10</f>
        <v>42358.252282871108</v>
      </c>
      <c r="AE10" s="39">
        <f t="shared" si="5"/>
        <v>-8.2366467236944144E-2</v>
      </c>
      <c r="AF10" s="51">
        <f t="shared" si="6"/>
        <v>-3079470.6885105427</v>
      </c>
      <c r="AG10" s="51">
        <f t="shared" si="6"/>
        <v>-3253387.1888767583</v>
      </c>
      <c r="AH10" s="51">
        <f t="shared" si="6"/>
        <v>-3613210.999882346</v>
      </c>
      <c r="AI10" s="51">
        <f t="shared" si="7"/>
        <v>173916.50036621559</v>
      </c>
      <c r="AJ10" s="57">
        <f t="shared" si="8"/>
        <v>-0.14771910950929326</v>
      </c>
    </row>
    <row r="11" spans="1:38" x14ac:dyDescent="0.25">
      <c r="A11" s="66" t="s">
        <v>109</v>
      </c>
      <c r="B11" s="51">
        <f>_xlfn.IFNA(INDEX('P&amp;L ACTUALS+EST'!$B$3:$Y$18,MATCH('P&amp;L MONTHLY'!$A11,'P&amp;L ACTUALS+EST'!$A$3:$A$18,0),MATCH('P&amp;L MONTHLY'!B$3,'P&amp;L ACTUALS+EST'!$B$2:$Y$2,0)),0)</f>
        <v>-1830023.9135537171</v>
      </c>
      <c r="C11" s="51">
        <f>_xlfn.IFNA(INDEX('P&amp;L ACTUALS+EST'!$B$3:$Y$18,MATCH('P&amp;L MONTHLY'!$A11,'P&amp;L ACTUALS+EST'!$A$3:$A$18,0),MATCH('P&amp;L MONTHLY'!C$3,'P&amp;L ACTUALS+EST'!$B$2:$Y$2,0)),0)</f>
        <v>-1470207.5748717913</v>
      </c>
      <c r="D11" s="51">
        <f>_xlfn.IFNA(INDEX('P&amp;L ACTUALS+EST'!$B$3:$Y$18,MATCH('P&amp;L MONTHLY'!$A11,'P&amp;L ACTUALS+EST'!$A$3:$A$18,0),MATCH('P&amp;L MONTHLY'!D$3,'P&amp;L ACTUALS+EST'!$B$2:$Y$2,0)),0)</f>
        <v>-1666186.2385877755</v>
      </c>
      <c r="E11" s="51">
        <f t="shared" si="9"/>
        <v>-163837.67496594158</v>
      </c>
      <c r="F11" s="39">
        <f t="shared" si="0"/>
        <v>9.8330949549077395E-2</v>
      </c>
      <c r="G11" s="51">
        <f>_xlfn.IFNA(INDEX('P&amp;L ACTUALS+EST'!$B$3:$Y$18,MATCH('P&amp;L MONTHLY'!$A11,'P&amp;L ACTUALS+EST'!$A$3:$A$18,0),MATCH('P&amp;L MONTHLY'!G$3,'P&amp;L ACTUALS+EST'!$B$2:$Y$2,0)),0)</f>
        <v>-2405737.6774740806</v>
      </c>
      <c r="H11" s="51">
        <f>_xlfn.IFNA(INDEX('P&amp;L ACTUALS+EST'!$B$3:$Y$18,MATCH('P&amp;L MONTHLY'!$A11,'P&amp;L ACTUALS+EST'!$A$3:$A$18,0),MATCH('P&amp;L MONTHLY'!H$3,'P&amp;L ACTUALS+EST'!$B$2:$Y$2,0)),0)</f>
        <v>-1932725.4307341292</v>
      </c>
      <c r="I11" s="51">
        <f>_xlfn.IFNA(INDEX('P&amp;L ACTUALS+EST'!$B$3:$Y$18,MATCH('P&amp;L MONTHLY'!$A11,'P&amp;L ACTUALS+EST'!$A$3:$A$18,0),MATCH('P&amp;L MONTHLY'!I$3,'P&amp;L ACTUALS+EST'!$B$2:$Y$2,0)),0)</f>
        <v>-2162748.0164199658</v>
      </c>
      <c r="J11" s="51">
        <f t="shared" si="29"/>
        <v>-242989.66105411481</v>
      </c>
      <c r="K11" s="39">
        <f t="shared" si="1"/>
        <v>0.11235227553524234</v>
      </c>
      <c r="L11" s="51">
        <f>_xlfn.IFNA(INDEX('P&amp;L ACTUALS+EST'!$B$3:$Y$18,MATCH('P&amp;L MONTHLY'!$A11,'P&amp;L ACTUALS+EST'!$A$3:$A$18,0),MATCH('P&amp;L MONTHLY'!L$3,'P&amp;L ACTUALS+EST'!$B$2:$Y$2,0)),0)</f>
        <v>-2768479.8280276647</v>
      </c>
      <c r="M11" s="51">
        <f>_xlfn.IFNA(INDEX('P&amp;L ACTUALS+EST'!$B$3:$Y$18,MATCH('P&amp;L MONTHLY'!$A11,'P&amp;L ACTUALS+EST'!$A$3:$A$18,0),MATCH('P&amp;L MONTHLY'!M$3,'P&amp;L ACTUALS+EST'!$B$2:$Y$2,0)),0)</f>
        <v>-2446516.2337589473</v>
      </c>
      <c r="N11" s="51">
        <f>_xlfn.IFNA(INDEX('P&amp;L ACTUALS+EST'!$B$3:$Y$18,MATCH('P&amp;L MONTHLY'!$A11,'P&amp;L ACTUALS+EST'!$A$3:$A$18,0),MATCH('P&amp;L MONTHLY'!N$3,'P&amp;L ACTUALS+EST'!$B$2:$Y$2,0)),0)</f>
        <v>-2853089.8029714175</v>
      </c>
      <c r="O11" s="51">
        <f t="shared" si="30"/>
        <v>84609.974943752866</v>
      </c>
      <c r="P11" s="39">
        <f t="shared" si="2"/>
        <v>-2.9655559686776706E-2</v>
      </c>
      <c r="Q11" s="51">
        <f>_xlfn.IFNA(INDEX('P&amp;L ACTUALS+EST'!$B$3:$Y$18,MATCH('P&amp;L MONTHLY'!$A11,'P&amp;L ACTUALS+EST'!$A$3:$A$18,0),MATCH('P&amp;L MONTHLY'!Q$3,'P&amp;L ACTUALS+EST'!$B$2:$Y$2,0)),0)</f>
        <v>-2084666.5777848272</v>
      </c>
      <c r="R11" s="51">
        <f>_xlfn.IFNA(INDEX('P&amp;L ACTUALS+EST'!$B$3:$Y$18,MATCH('P&amp;L MONTHLY'!$A11,'P&amp;L ACTUALS+EST'!$A$3:$A$18,0),MATCH('P&amp;L MONTHLY'!R$3,'P&amp;L ACTUALS+EST'!$B$2:$Y$2,0)),0)</f>
        <v>-2307060.6568676503</v>
      </c>
      <c r="S11" s="51">
        <f>_xlfn.IFNA(INDEX('P&amp;L ACTUALS+EST'!$B$3:$Y$18,MATCH('P&amp;L MONTHLY'!$A11,'P&amp;L ACTUALS+EST'!$A$3:$A$18,0),MATCH('P&amp;L MONTHLY'!S$3,'P&amp;L ACTUALS+EST'!$B$2:$Y$2,0)),0)</f>
        <v>-2627283.7802903662</v>
      </c>
      <c r="T11" s="51">
        <f t="shared" si="31"/>
        <v>542617.20250553894</v>
      </c>
      <c r="U11" s="39">
        <f t="shared" si="3"/>
        <v>-0.20653163033860361</v>
      </c>
      <c r="V11" s="51">
        <f>_xlfn.IFNA(INDEX('P&amp;L ACTUALS+EST'!$B$3:$Y$18,MATCH('P&amp;L MONTHLY'!$A11,'P&amp;L ACTUALS+EST'!$A$3:$A$18,0),MATCH('P&amp;L MONTHLY'!V$3,'P&amp;L ACTUALS+EST'!$B$2:$Y$2,0)),0)</f>
        <v>-2202174.6291354145</v>
      </c>
      <c r="W11" s="51">
        <f>_xlfn.IFNA(INDEX('P&amp;L ACTUALS+EST'!$B$3:$Y$18,MATCH('P&amp;L MONTHLY'!$A11,'P&amp;L ACTUALS+EST'!$A$3:$A$18,0),MATCH('P&amp;L MONTHLY'!W$3,'P&amp;L ACTUALS+EST'!$B$2:$Y$2,0)),0)</f>
        <v>-2092614.7626787613</v>
      </c>
      <c r="X11" s="51">
        <f>_xlfn.IFNA(INDEX('P&amp;L ACTUALS+EST'!$B$3:$Y$18,MATCH('P&amp;L MONTHLY'!$A11,'P&amp;L ACTUALS+EST'!$A$3:$A$18,0),MATCH('P&amp;L MONTHLY'!X$3,'P&amp;L ACTUALS+EST'!$B$2:$Y$2,0)),0)</f>
        <v>-2288427.6901496761</v>
      </c>
      <c r="Y11" s="51">
        <f t="shared" si="32"/>
        <v>86253.061014261562</v>
      </c>
      <c r="Z11" s="39">
        <f t="shared" si="4"/>
        <v>-3.7690970698147828E-2</v>
      </c>
      <c r="AA11" s="51">
        <f>_xlfn.IFNA(INDEX('P&amp;L ACTUALS+EST'!$B$3:$Y$18,MATCH('P&amp;L MONTHLY'!$A11,'P&amp;L ACTUALS+EST'!$A$3:$A$18,0),MATCH('P&amp;L MONTHLY'!AA$3,'P&amp;L ACTUALS+EST'!$B$2:$Y$2,0)),0)</f>
        <v>-1982751.8174181338</v>
      </c>
      <c r="AB11" s="51">
        <f>_xlfn.IFNA(INDEX('P&amp;L ACTUALS+EST'!$B$3:$Y$18,MATCH('P&amp;L MONTHLY'!$A11,'P&amp;L ACTUALS+EST'!$A$3:$A$18,0),MATCH('P&amp;L MONTHLY'!AB$3,'P&amp;L ACTUALS+EST'!$B$2:$Y$2,0)),0)</f>
        <v>-1618297.103107024</v>
      </c>
      <c r="AC11" s="51">
        <f>_xlfn.IFNA(INDEX('P&amp;L ACTUALS+EST'!$B$3:$Y$18,MATCH('P&amp;L MONTHLY'!$A11,'P&amp;L ACTUALS+EST'!$A$3:$A$18,0),MATCH('P&amp;L MONTHLY'!AC$3,'P&amp;L ACTUALS+EST'!$B$2:$Y$2,0)),0)</f>
        <v>-1841723.0383378961</v>
      </c>
      <c r="AD11" s="51">
        <f t="shared" si="33"/>
        <v>-141028.77908023773</v>
      </c>
      <c r="AE11" s="39">
        <f t="shared" si="5"/>
        <v>7.6574368753899225E-2</v>
      </c>
      <c r="AF11" s="51">
        <f t="shared" si="6"/>
        <v>-13273834.44339384</v>
      </c>
      <c r="AG11" s="51">
        <f t="shared" si="6"/>
        <v>-11867421.762018304</v>
      </c>
      <c r="AH11" s="51">
        <f t="shared" si="6"/>
        <v>-13439458.566757096</v>
      </c>
      <c r="AI11" s="51">
        <f t="shared" si="7"/>
        <v>-1406412.6813755352</v>
      </c>
      <c r="AJ11" s="57">
        <f t="shared" si="8"/>
        <v>-1.23237199281921E-2</v>
      </c>
    </row>
    <row r="12" spans="1:38" x14ac:dyDescent="0.25">
      <c r="A12" s="66" t="s">
        <v>108</v>
      </c>
      <c r="B12" s="51">
        <f>_xlfn.IFNA(INDEX('P&amp;L ACTUALS+EST'!$B$3:$Y$18,MATCH('P&amp;L MONTHLY'!$A12,'P&amp;L ACTUALS+EST'!$A$3:$A$18,0),MATCH('P&amp;L MONTHLY'!B$3,'P&amp;L ACTUALS+EST'!$B$2:$Y$2,0)),0)</f>
        <v>-2934147.3862347044</v>
      </c>
      <c r="C12" s="51">
        <f>_xlfn.IFNA(INDEX('P&amp;L ACTUALS+EST'!$B$3:$Y$18,MATCH('P&amp;L MONTHLY'!$A12,'P&amp;L ACTUALS+EST'!$A$3:$A$18,0),MATCH('P&amp;L MONTHLY'!C$3,'P&amp;L ACTUALS+EST'!$B$2:$Y$2,0)),0)</f>
        <v>-2697687.0397911221</v>
      </c>
      <c r="D12" s="51">
        <f>_xlfn.IFNA(INDEX('P&amp;L ACTUALS+EST'!$B$3:$Y$18,MATCH('P&amp;L MONTHLY'!$A12,'P&amp;L ACTUALS+EST'!$A$3:$A$18,0),MATCH('P&amp;L MONTHLY'!D$3,'P&amp;L ACTUALS+EST'!$B$2:$Y$2,0)),0)</f>
        <v>-2929859.4297916428</v>
      </c>
      <c r="E12" s="51">
        <f t="shared" si="9"/>
        <v>-4287.9564430615865</v>
      </c>
      <c r="F12" s="39">
        <f t="shared" si="0"/>
        <v>1.4635365777144213E-3</v>
      </c>
      <c r="G12" s="51">
        <f>_xlfn.IFNA(INDEX('P&amp;L ACTUALS+EST'!$B$3:$Y$18,MATCH('P&amp;L MONTHLY'!$A12,'P&amp;L ACTUALS+EST'!$A$3:$A$18,0),MATCH('P&amp;L MONTHLY'!G$3,'P&amp;L ACTUALS+EST'!$B$2:$Y$2,0)),0)</f>
        <v>-3818240.3043947741</v>
      </c>
      <c r="H12" s="51">
        <f>_xlfn.IFNA(INDEX('P&amp;L ACTUALS+EST'!$B$3:$Y$18,MATCH('P&amp;L MONTHLY'!$A12,'P&amp;L ACTUALS+EST'!$A$3:$A$18,0),MATCH('P&amp;L MONTHLY'!H$3,'P&amp;L ACTUALS+EST'!$B$2:$Y$2,0)),0)</f>
        <v>-3505939.1785340076</v>
      </c>
      <c r="I12" s="51">
        <f>_xlfn.IFNA(INDEX('P&amp;L ACTUALS+EST'!$B$3:$Y$18,MATCH('P&amp;L MONTHLY'!$A12,'P&amp;L ACTUALS+EST'!$A$3:$A$18,0),MATCH('P&amp;L MONTHLY'!I$3,'P&amp;L ACTUALS+EST'!$B$2:$Y$2,0)),0)</f>
        <v>-3825209.161681666</v>
      </c>
      <c r="J12" s="51">
        <f t="shared" si="29"/>
        <v>6968.8572868919</v>
      </c>
      <c r="K12" s="39">
        <f t="shared" si="1"/>
        <v>-1.8218238512814292E-3</v>
      </c>
      <c r="L12" s="51">
        <f>_xlfn.IFNA(INDEX('P&amp;L ACTUALS+EST'!$B$3:$Y$18,MATCH('P&amp;L MONTHLY'!$A12,'P&amp;L ACTUALS+EST'!$A$3:$A$18,0),MATCH('P&amp;L MONTHLY'!L$3,'P&amp;L ACTUALS+EST'!$B$2:$Y$2,0)),0)</f>
        <v>-4464968.2311826935</v>
      </c>
      <c r="M12" s="51">
        <f>_xlfn.IFNA(INDEX('P&amp;L ACTUALS+EST'!$B$3:$Y$18,MATCH('P&amp;L MONTHLY'!$A12,'P&amp;L ACTUALS+EST'!$A$3:$A$18,0),MATCH('P&amp;L MONTHLY'!M$3,'P&amp;L ACTUALS+EST'!$B$2:$Y$2,0)),0)</f>
        <v>-4722572.5584704466</v>
      </c>
      <c r="N12" s="51">
        <f>_xlfn.IFNA(INDEX('P&amp;L ACTUALS+EST'!$B$3:$Y$18,MATCH('P&amp;L MONTHLY'!$A12,'P&amp;L ACTUALS+EST'!$A$3:$A$18,0),MATCH('P&amp;L MONTHLY'!N$3,'P&amp;L ACTUALS+EST'!$B$2:$Y$2,0)),0)</f>
        <v>-5107316.0562991342</v>
      </c>
      <c r="O12" s="51">
        <f t="shared" si="30"/>
        <v>642347.82511644065</v>
      </c>
      <c r="P12" s="39">
        <f t="shared" si="2"/>
        <v>-0.12577013406566012</v>
      </c>
      <c r="Q12" s="51">
        <f>_xlfn.IFNA(INDEX('P&amp;L ACTUALS+EST'!$B$3:$Y$18,MATCH('P&amp;L MONTHLY'!$A12,'P&amp;L ACTUALS+EST'!$A$3:$A$18,0),MATCH('P&amp;L MONTHLY'!Q$3,'P&amp;L ACTUALS+EST'!$B$2:$Y$2,0)),0)</f>
        <v>-3341724.1098130792</v>
      </c>
      <c r="R12" s="51">
        <f>_xlfn.IFNA(INDEX('P&amp;L ACTUALS+EST'!$B$3:$Y$18,MATCH('P&amp;L MONTHLY'!$A12,'P&amp;L ACTUALS+EST'!$A$3:$A$18,0),MATCH('P&amp;L MONTHLY'!R$3,'P&amp;L ACTUALS+EST'!$B$2:$Y$2,0)),0)</f>
        <v>-4336663.6196706323</v>
      </c>
      <c r="S12" s="51">
        <f>_xlfn.IFNA(INDEX('P&amp;L ACTUALS+EST'!$B$3:$Y$18,MATCH('P&amp;L MONTHLY'!$A12,'P&amp;L ACTUALS+EST'!$A$3:$A$18,0),MATCH('P&amp;L MONTHLY'!S$3,'P&amp;L ACTUALS+EST'!$B$2:$Y$2,0)),0)</f>
        <v>-4732498.8242035117</v>
      </c>
      <c r="T12" s="51">
        <f t="shared" si="31"/>
        <v>1390774.7143904325</v>
      </c>
      <c r="U12" s="39">
        <f t="shared" si="3"/>
        <v>-0.29387745587543856</v>
      </c>
      <c r="V12" s="51">
        <f>_xlfn.IFNA(INDEX('P&amp;L ACTUALS+EST'!$B$3:$Y$18,MATCH('P&amp;L MONTHLY'!$A12,'P&amp;L ACTUALS+EST'!$A$3:$A$18,0),MATCH('P&amp;L MONTHLY'!V$3,'P&amp;L ACTUALS+EST'!$B$2:$Y$2,0)),0)</f>
        <v>-3570895.8924864982</v>
      </c>
      <c r="W12" s="51">
        <f>_xlfn.IFNA(INDEX('P&amp;L ACTUALS+EST'!$B$3:$Y$18,MATCH('P&amp;L MONTHLY'!$A12,'P&amp;L ACTUALS+EST'!$A$3:$A$18,0),MATCH('P&amp;L MONTHLY'!W$3,'P&amp;L ACTUALS+EST'!$B$2:$Y$2,0)),0)</f>
        <v>-3914189.2965163086</v>
      </c>
      <c r="X12" s="51">
        <f>_xlfn.IFNA(INDEX('P&amp;L ACTUALS+EST'!$B$3:$Y$18,MATCH('P&amp;L MONTHLY'!$A12,'P&amp;L ACTUALS+EST'!$A$3:$A$18,0),MATCH('P&amp;L MONTHLY'!X$3,'P&amp;L ACTUALS+EST'!$B$2:$Y$2,0)),0)</f>
        <v>-4248955.3782227663</v>
      </c>
      <c r="Y12" s="51">
        <f t="shared" si="32"/>
        <v>678059.48573626811</v>
      </c>
      <c r="Z12" s="39">
        <f t="shared" si="4"/>
        <v>-0.15958263275993351</v>
      </c>
      <c r="AA12" s="51">
        <f>_xlfn.IFNA(INDEX('P&amp;L ACTUALS+EST'!$B$3:$Y$18,MATCH('P&amp;L MONTHLY'!$A12,'P&amp;L ACTUALS+EST'!$A$3:$A$18,0),MATCH('P&amp;L MONTHLY'!AA$3,'P&amp;L ACTUALS+EST'!$B$2:$Y$2,0)),0)</f>
        <v>-3199221.2606041213</v>
      </c>
      <c r="AB12" s="51">
        <f>_xlfn.IFNA(INDEX('P&amp;L ACTUALS+EST'!$B$3:$Y$18,MATCH('P&amp;L MONTHLY'!$A12,'P&amp;L ACTUALS+EST'!$A$3:$A$18,0),MATCH('P&amp;L MONTHLY'!AB$3,'P&amp;L ACTUALS+EST'!$B$2:$Y$2,0)),0)</f>
        <v>-3097761.209866724</v>
      </c>
      <c r="AC12" s="51">
        <f>_xlfn.IFNA(INDEX('P&amp;L ACTUALS+EST'!$B$3:$Y$18,MATCH('P&amp;L MONTHLY'!$A12,'P&amp;L ACTUALS+EST'!$A$3:$A$18,0),MATCH('P&amp;L MONTHLY'!AC$3,'P&amp;L ACTUALS+EST'!$B$2:$Y$2,0)),0)</f>
        <v>-3331115.959181576</v>
      </c>
      <c r="AD12" s="51">
        <f t="shared" si="33"/>
        <v>131894.69857745478</v>
      </c>
      <c r="AE12" s="39">
        <f t="shared" si="5"/>
        <v>-3.9594748484787085E-2</v>
      </c>
      <c r="AF12" s="51">
        <f t="shared" si="6"/>
        <v>-21329197.184715871</v>
      </c>
      <c r="AG12" s="51">
        <f t="shared" si="6"/>
        <v>-22274812.902849242</v>
      </c>
      <c r="AH12" s="51">
        <f t="shared" si="6"/>
        <v>-24174954.809380297</v>
      </c>
      <c r="AI12" s="51">
        <f t="shared" si="7"/>
        <v>945615.71813337132</v>
      </c>
      <c r="AJ12" s="57">
        <f t="shared" si="8"/>
        <v>-0.11771511661979295</v>
      </c>
    </row>
    <row r="13" spans="1:38" x14ac:dyDescent="0.25">
      <c r="A13" s="64" t="s">
        <v>98</v>
      </c>
      <c r="B13" s="49">
        <f>_xlfn.IFNA(INDEX('P&amp;L ACTUALS+EST'!$B$3:$Y$18,MATCH('P&amp;L MONTHLY'!$A13,'P&amp;L ACTUALS+EST'!$A$3:$A$18,0),MATCH('P&amp;L MONTHLY'!B$3,'P&amp;L ACTUALS+EST'!$B$2:$Y$2,0)),0)</f>
        <v>-5168388.6399160577</v>
      </c>
      <c r="C13" s="49">
        <f>_xlfn.IFNA(INDEX('P&amp;L ACTUALS+EST'!$B$3:$Y$18,MATCH('P&amp;L MONTHLY'!$A13,'P&amp;L ACTUALS+EST'!$A$3:$A$18,0),MATCH('P&amp;L MONTHLY'!C$3,'P&amp;L ACTUALS+EST'!$B$2:$Y$2,0)),0)</f>
        <v>-4552828.9357856186</v>
      </c>
      <c r="D13" s="49">
        <f>_xlfn.IFNA(INDEX('P&amp;L ACTUALS+EST'!$B$3:$Y$18,MATCH('P&amp;L MONTHLY'!$A13,'P&amp;L ACTUALS+EST'!$A$3:$A$18,0),MATCH('P&amp;L MONTHLY'!D$3,'P&amp;L ACTUALS+EST'!$B$2:$Y$2,0)),0)</f>
        <v>-5021979.1927508004</v>
      </c>
      <c r="E13" s="49">
        <f t="shared" si="9"/>
        <v>-146409.4471652573</v>
      </c>
      <c r="F13" s="50">
        <f t="shared" si="0"/>
        <v>2.9153734323829644E-2</v>
      </c>
      <c r="G13" s="49">
        <f>_xlfn.IFNA(INDEX('P&amp;L ACTUALS+EST'!$B$3:$Y$18,MATCH('P&amp;L MONTHLY'!$A13,'P&amp;L ACTUALS+EST'!$A$3:$A$18,0),MATCH('P&amp;L MONTHLY'!G$3,'P&amp;L ACTUALS+EST'!$B$2:$Y$2,0)),0)</f>
        <v>-6758980.4708719961</v>
      </c>
      <c r="H13" s="49">
        <f>_xlfn.IFNA(INDEX('P&amp;L ACTUALS+EST'!$B$3:$Y$18,MATCH('P&amp;L MONTHLY'!$A13,'P&amp;L ACTUALS+EST'!$A$3:$A$18,0),MATCH('P&amp;L MONTHLY'!H$3,'P&amp;L ACTUALS+EST'!$B$2:$Y$2,0)),0)</f>
        <v>-5935552.609975053</v>
      </c>
      <c r="I13" s="49">
        <f>_xlfn.IFNA(INDEX('P&amp;L ACTUALS+EST'!$B$3:$Y$18,MATCH('P&amp;L MONTHLY'!$A13,'P&amp;L ACTUALS+EST'!$A$3:$A$18,0),MATCH('P&amp;L MONTHLY'!I$3,'P&amp;L ACTUALS+EST'!$B$2:$Y$2,0)),0)</f>
        <v>-6548726.8423590939</v>
      </c>
      <c r="J13" s="49">
        <f t="shared" si="29"/>
        <v>-210253.62851290219</v>
      </c>
      <c r="K13" s="50">
        <f t="shared" si="1"/>
        <v>3.2106031229294799E-2</v>
      </c>
      <c r="L13" s="49">
        <f>_xlfn.IFNA(INDEX('P&amp;L ACTUALS+EST'!$B$3:$Y$18,MATCH('P&amp;L MONTHLY'!$A13,'P&amp;L ACTUALS+EST'!$A$3:$A$18,0),MATCH('P&amp;L MONTHLY'!L$3,'P&amp;L ACTUALS+EST'!$B$2:$Y$2,0)),0)</f>
        <v>-7884645.0339313783</v>
      </c>
      <c r="M13" s="49">
        <f>_xlfn.IFNA(INDEX('P&amp;L ACTUALS+EST'!$B$3:$Y$18,MATCH('P&amp;L MONTHLY'!$A13,'P&amp;L ACTUALS+EST'!$A$3:$A$18,0),MATCH('P&amp;L MONTHLY'!M$3,'P&amp;L ACTUALS+EST'!$B$2:$Y$2,0)),0)</f>
        <v>-7861225.7754056379</v>
      </c>
      <c r="N13" s="49">
        <f>_xlfn.IFNA(INDEX('P&amp;L ACTUALS+EST'!$B$3:$Y$18,MATCH('P&amp;L MONTHLY'!$A13,'P&amp;L ACTUALS+EST'!$A$3:$A$18,0),MATCH('P&amp;L MONTHLY'!N$3,'P&amp;L ACTUALS+EST'!$B$2:$Y$2,0)),0)</f>
        <v>-8721929.0934460107</v>
      </c>
      <c r="O13" s="49">
        <f t="shared" si="30"/>
        <v>837284.05951463245</v>
      </c>
      <c r="P13" s="50">
        <f t="shared" si="2"/>
        <v>-9.599757697454793E-2</v>
      </c>
      <c r="Q13" s="49">
        <f>_xlfn.IFNA(INDEX('P&amp;L ACTUALS+EST'!$B$3:$Y$18,MATCH('P&amp;L MONTHLY'!$A13,'P&amp;L ACTUALS+EST'!$A$3:$A$18,0),MATCH('P&amp;L MONTHLY'!Q$3,'P&amp;L ACTUALS+EST'!$B$2:$Y$2,0)),0)</f>
        <v>-5919193.3124735793</v>
      </c>
      <c r="R13" s="49">
        <f>_xlfn.IFNA(INDEX('P&amp;L ACTUALS+EST'!$B$3:$Y$18,MATCH('P&amp;L MONTHLY'!$A13,'P&amp;L ACTUALS+EST'!$A$3:$A$18,0),MATCH('P&amp;L MONTHLY'!R$3,'P&amp;L ACTUALS+EST'!$B$2:$Y$2,0)),0)</f>
        <v>-7273113.4588477751</v>
      </c>
      <c r="S13" s="49">
        <f>_xlfn.IFNA(INDEX('P&amp;L ACTUALS+EST'!$B$3:$Y$18,MATCH('P&amp;L MONTHLY'!$A13,'P&amp;L ACTUALS+EST'!$A$3:$A$18,0),MATCH('P&amp;L MONTHLY'!S$3,'P&amp;L ACTUALS+EST'!$B$2:$Y$2,0)),0)</f>
        <v>-8071502.016617313</v>
      </c>
      <c r="T13" s="49">
        <f t="shared" si="31"/>
        <v>2152308.7041437337</v>
      </c>
      <c r="U13" s="50">
        <f t="shared" si="3"/>
        <v>-0.26665528915344866</v>
      </c>
      <c r="V13" s="49">
        <f>_xlfn.IFNA(INDEX('P&amp;L ACTUALS+EST'!$B$3:$Y$18,MATCH('P&amp;L MONTHLY'!$A13,'P&amp;L ACTUALS+EST'!$A$3:$A$18,0),MATCH('P&amp;L MONTHLY'!V$3,'P&amp;L ACTUALS+EST'!$B$2:$Y$2,0)),0)</f>
        <v>-6297414.2929827347</v>
      </c>
      <c r="W13" s="49">
        <f>_xlfn.IFNA(INDEX('P&amp;L ACTUALS+EST'!$B$3:$Y$18,MATCH('P&amp;L MONTHLY'!$A13,'P&amp;L ACTUALS+EST'!$A$3:$A$18,0),MATCH('P&amp;L MONTHLY'!W$3,'P&amp;L ACTUALS+EST'!$B$2:$Y$2,0)),0)</f>
        <v>-6585840.7822112367</v>
      </c>
      <c r="X13" s="49">
        <f>_xlfn.IFNA(INDEX('P&amp;L ACTUALS+EST'!$B$3:$Y$18,MATCH('P&amp;L MONTHLY'!$A13,'P&amp;L ACTUALS+EST'!$A$3:$A$18,0),MATCH('P&amp;L MONTHLY'!X$3,'P&amp;L ACTUALS+EST'!$B$2:$Y$2,0)),0)</f>
        <v>-7176382.4926219285</v>
      </c>
      <c r="Y13" s="49">
        <f t="shared" si="32"/>
        <v>878968.19963919371</v>
      </c>
      <c r="Z13" s="50">
        <f t="shared" si="4"/>
        <v>-0.12248067888561751</v>
      </c>
      <c r="AA13" s="49">
        <f>_xlfn.IFNA(INDEX('P&amp;L ACTUALS+EST'!$B$3:$Y$18,MATCH('P&amp;L MONTHLY'!$A13,'P&amp;L ACTUALS+EST'!$A$3:$A$18,0),MATCH('P&amp;L MONTHLY'!AA$3,'P&amp;L ACTUALS+EST'!$B$2:$Y$2,0)),0)</f>
        <v>-5653880.566444505</v>
      </c>
      <c r="AB13" s="49">
        <f>_xlfn.IFNA(INDEX('P&amp;L ACTUALS+EST'!$B$3:$Y$18,MATCH('P&amp;L MONTHLY'!$A13,'P&amp;L ACTUALS+EST'!$A$3:$A$18,0),MATCH('P&amp;L MONTHLY'!AB$3,'P&amp;L ACTUALS+EST'!$B$2:$Y$2,0)),0)</f>
        <v>-5187060.2915189825</v>
      </c>
      <c r="AC13" s="49">
        <f>_xlfn.IFNA(INDEX('P&amp;L ACTUALS+EST'!$B$3:$Y$18,MATCH('P&amp;L MONTHLY'!$A13,'P&amp;L ACTUALS+EST'!$A$3:$A$18,0),MATCH('P&amp;L MONTHLY'!AC$3,'P&amp;L ACTUALS+EST'!$B$2:$Y$2,0)),0)</f>
        <v>-5687104.7382245921</v>
      </c>
      <c r="AD13" s="49">
        <f t="shared" si="33"/>
        <v>33224.171780087054</v>
      </c>
      <c r="AE13" s="50">
        <f t="shared" si="5"/>
        <v>-5.842018620965124E-3</v>
      </c>
      <c r="AF13" s="49">
        <f t="shared" si="6"/>
        <v>-37682502.316620253</v>
      </c>
      <c r="AG13" s="49">
        <f t="shared" si="6"/>
        <v>-37395621.853744306</v>
      </c>
      <c r="AH13" s="49">
        <f t="shared" si="6"/>
        <v>-41227624.376019746</v>
      </c>
      <c r="AI13" s="49">
        <f t="shared" si="7"/>
        <v>-286880.46287594736</v>
      </c>
      <c r="AJ13" s="55">
        <f t="shared" si="8"/>
        <v>-8.5988996772308104E-2</v>
      </c>
    </row>
    <row r="14" spans="1:38" s="36" customFormat="1" x14ac:dyDescent="0.25">
      <c r="A14" s="67" t="s">
        <v>99</v>
      </c>
      <c r="B14" s="52">
        <f>_xlfn.IFNA(INDEX('P&amp;L ACTUALS+EST'!$B$3:$Y$18,MATCH('P&amp;L MONTHLY'!$A14,'P&amp;L ACTUALS+EST'!$A$3:$A$18,0),MATCH('P&amp;L MONTHLY'!B$3,'P&amp;L ACTUALS+EST'!$B$2:$Y$2,0)),0)</f>
        <v>1921300.4405821273</v>
      </c>
      <c r="C14" s="52">
        <f>_xlfn.IFNA(INDEX('P&amp;L ACTUALS+EST'!$B$3:$Y$18,MATCH('P&amp;L MONTHLY'!$A14,'P&amp;L ACTUALS+EST'!$A$3:$A$18,0),MATCH('P&amp;L MONTHLY'!C$3,'P&amp;L ACTUALS+EST'!$B$2:$Y$2,0)),0)</f>
        <v>2350783.007031939</v>
      </c>
      <c r="D14" s="52">
        <f>_xlfn.IFNA(INDEX('P&amp;L ACTUALS+EST'!$B$3:$Y$18,MATCH('P&amp;L MONTHLY'!$A14,'P&amp;L ACTUALS+EST'!$A$3:$A$18,0),MATCH('P&amp;L MONTHLY'!D$3,'P&amp;L ACTUALS+EST'!$B$2:$Y$2,0)),0)</f>
        <v>2526894.9902689997</v>
      </c>
      <c r="E14" s="52">
        <f t="shared" si="9"/>
        <v>-605594.5496868724</v>
      </c>
      <c r="F14" s="53">
        <f t="shared" si="0"/>
        <v>-0.23965956322641016</v>
      </c>
      <c r="G14" s="52">
        <f>_xlfn.IFNA(INDEX('P&amp;L ACTUALS+EST'!$B$3:$Y$18,MATCH('P&amp;L MONTHLY'!$A14,'P&amp;L ACTUALS+EST'!$A$3:$A$18,0),MATCH('P&amp;L MONTHLY'!G$3,'P&amp;L ACTUALS+EST'!$B$2:$Y$2,0)),0)</f>
        <v>2622726.6242511235</v>
      </c>
      <c r="H14" s="52">
        <f>_xlfn.IFNA(INDEX('P&amp;L ACTUALS+EST'!$B$3:$Y$18,MATCH('P&amp;L MONTHLY'!$A14,'P&amp;L ACTUALS+EST'!$A$3:$A$18,0),MATCH('P&amp;L MONTHLY'!H$3,'P&amp;L ACTUALS+EST'!$B$2:$Y$2,0)),0)</f>
        <v>3209154.3958599791</v>
      </c>
      <c r="I14" s="52">
        <f>_xlfn.IFNA(INDEX('P&amp;L ACTUALS+EST'!$B$3:$Y$18,MATCH('P&amp;L MONTHLY'!$A14,'P&amp;L ACTUALS+EST'!$A$3:$A$18,0),MATCH('P&amp;L MONTHLY'!I$3,'P&amp;L ACTUALS+EST'!$B$2:$Y$2,0)),0)</f>
        <v>3430742.9803906418</v>
      </c>
      <c r="J14" s="52">
        <f t="shared" si="29"/>
        <v>-808016.35613951832</v>
      </c>
      <c r="K14" s="53">
        <f t="shared" si="1"/>
        <v>-0.23552226464003825</v>
      </c>
      <c r="L14" s="52">
        <f>_xlfn.IFNA(INDEX('P&amp;L ACTUALS+EST'!$B$3:$Y$18,MATCH('P&amp;L MONTHLY'!$A14,'P&amp;L ACTUALS+EST'!$A$3:$A$18,0),MATCH('P&amp;L MONTHLY'!L$3,'P&amp;L ACTUALS+EST'!$B$2:$Y$2,0)),0)</f>
        <v>3556920.1827506423</v>
      </c>
      <c r="M14" s="52">
        <f>_xlfn.IFNA(INDEX('P&amp;L ACTUALS+EST'!$B$3:$Y$18,MATCH('P&amp;L MONTHLY'!$A14,'P&amp;L ACTUALS+EST'!$A$3:$A$18,0),MATCH('P&amp;L MONTHLY'!M$3,'P&amp;L ACTUALS+EST'!$B$2:$Y$2,0)),0)</f>
        <v>4580383.2658436298</v>
      </c>
      <c r="N14" s="52">
        <f>_xlfn.IFNA(INDEX('P&amp;L ACTUALS+EST'!$B$3:$Y$18,MATCH('P&amp;L MONTHLY'!$A14,'P&amp;L ACTUALS+EST'!$A$3:$A$18,0),MATCH('P&amp;L MONTHLY'!N$3,'P&amp;L ACTUALS+EST'!$B$2:$Y$2,0)),0)</f>
        <v>4794137.0314681958</v>
      </c>
      <c r="O14" s="52">
        <f t="shared" si="30"/>
        <v>-1237216.8487175535</v>
      </c>
      <c r="P14" s="53">
        <f t="shared" si="2"/>
        <v>-0.25806872865681485</v>
      </c>
      <c r="Q14" s="52">
        <f>_xlfn.IFNA(INDEX('P&amp;L ACTUALS+EST'!$B$3:$Y$18,MATCH('P&amp;L MONTHLY'!$A14,'P&amp;L ACTUALS+EST'!$A$3:$A$18,0),MATCH('P&amp;L MONTHLY'!Q$3,'P&amp;L ACTUALS+EST'!$B$2:$Y$2,0)),0)</f>
        <v>2786339.8818982849</v>
      </c>
      <c r="R14" s="52">
        <f>_xlfn.IFNA(INDEX('P&amp;L ACTUALS+EST'!$B$3:$Y$18,MATCH('P&amp;L MONTHLY'!$A14,'P&amp;L ACTUALS+EST'!$A$3:$A$18,0),MATCH('P&amp;L MONTHLY'!R$3,'P&amp;L ACTUALS+EST'!$B$2:$Y$2,0)),0)</f>
        <v>4451142.2131787175</v>
      </c>
      <c r="S14" s="52">
        <f>_xlfn.IFNA(INDEX('P&amp;L ACTUALS+EST'!$B$3:$Y$18,MATCH('P&amp;L MONTHLY'!$A14,'P&amp;L ACTUALS+EST'!$A$3:$A$18,0),MATCH('P&amp;L MONTHLY'!S$3,'P&amp;L ACTUALS+EST'!$B$2:$Y$2,0)),0)</f>
        <v>4581593.6978748292</v>
      </c>
      <c r="T14" s="52">
        <f t="shared" si="31"/>
        <v>-1795253.8159765443</v>
      </c>
      <c r="U14" s="53">
        <f t="shared" si="3"/>
        <v>-0.39184046739222472</v>
      </c>
      <c r="V14" s="52">
        <f>_xlfn.IFNA(INDEX('P&amp;L ACTUALS+EST'!$B$3:$Y$18,MATCH('P&amp;L MONTHLY'!$A14,'P&amp;L ACTUALS+EST'!$A$3:$A$18,0),MATCH('P&amp;L MONTHLY'!V$3,'P&amp;L ACTUALS+EST'!$B$2:$Y$2,0)),0)</f>
        <v>3015256.9139298499</v>
      </c>
      <c r="W14" s="52">
        <f>_xlfn.IFNA(INDEX('P&amp;L ACTUALS+EST'!$B$3:$Y$18,MATCH('P&amp;L MONTHLY'!$A14,'P&amp;L ACTUALS+EST'!$A$3:$A$18,0),MATCH('P&amp;L MONTHLY'!W$3,'P&amp;L ACTUALS+EST'!$B$2:$Y$2,0)),0)</f>
        <v>3959340.6962441802</v>
      </c>
      <c r="X14" s="52">
        <f>_xlfn.IFNA(INDEX('P&amp;L ACTUALS+EST'!$B$3:$Y$18,MATCH('P&amp;L MONTHLY'!$A14,'P&amp;L ACTUALS+EST'!$A$3:$A$18,0),MATCH('P&amp;L MONTHLY'!X$3,'P&amp;L ACTUALS+EST'!$B$2:$Y$2,0)),0)</f>
        <v>4165929.8705735542</v>
      </c>
      <c r="Y14" s="52">
        <f t="shared" si="32"/>
        <v>-1150672.9566437043</v>
      </c>
      <c r="Z14" s="53">
        <f t="shared" si="4"/>
        <v>-0.27621035216449352</v>
      </c>
      <c r="AA14" s="52">
        <f>_xlfn.IFNA(INDEX('P&amp;L ACTUALS+EST'!$B$3:$Y$18,MATCH('P&amp;L MONTHLY'!$A14,'P&amp;L ACTUALS+EST'!$A$3:$A$18,0),MATCH('P&amp;L MONTHLY'!AA$3,'P&amp;L ACTUALS+EST'!$B$2:$Y$2,0)),0)</f>
        <v>2639969.6198145915</v>
      </c>
      <c r="AB14" s="52">
        <f>_xlfn.IFNA(INDEX('P&amp;L ACTUALS+EST'!$B$3:$Y$18,MATCH('P&amp;L MONTHLY'!$A14,'P&amp;L ACTUALS+EST'!$A$3:$A$18,0),MATCH('P&amp;L MONTHLY'!AB$3,'P&amp;L ACTUALS+EST'!$B$2:$Y$2,0)),0)</f>
        <v>3207221.3323162291</v>
      </c>
      <c r="AC14" s="52">
        <f>_xlfn.IFNA(INDEX('P&amp;L ACTUALS+EST'!$B$3:$Y$18,MATCH('P&amp;L MONTHLY'!$A14,'P&amp;L ACTUALS+EST'!$A$3:$A$18,0),MATCH('P&amp;L MONTHLY'!AC$3,'P&amp;L ACTUALS+EST'!$B$2:$Y$2,0)),0)</f>
        <v>3437523.2649709266</v>
      </c>
      <c r="AD14" s="52">
        <f t="shared" si="33"/>
        <v>-797553.64515633509</v>
      </c>
      <c r="AE14" s="53">
        <f t="shared" si="5"/>
        <v>-0.23201403559463052</v>
      </c>
      <c r="AF14" s="52">
        <f t="shared" si="6"/>
        <v>16542513.663226619</v>
      </c>
      <c r="AG14" s="52">
        <f t="shared" si="6"/>
        <v>21758024.910474673</v>
      </c>
      <c r="AH14" s="52">
        <f t="shared" si="6"/>
        <v>22936821.835547149</v>
      </c>
      <c r="AI14" s="52">
        <f t="shared" si="7"/>
        <v>-5215511.2472480536</v>
      </c>
      <c r="AJ14" s="58">
        <f t="shared" si="8"/>
        <v>-0.27877917080956371</v>
      </c>
    </row>
    <row r="15" spans="1:38" x14ac:dyDescent="0.25">
      <c r="A15" s="68" t="s">
        <v>166</v>
      </c>
      <c r="B15" s="54">
        <f>B14/B6</f>
        <v>0.10516047220462767</v>
      </c>
      <c r="C15" s="54">
        <f t="shared" ref="C15:D15" si="34">C14/C6</f>
        <v>0.13130721424423031</v>
      </c>
      <c r="D15" s="54">
        <f t="shared" si="34"/>
        <v>0.1334994166403872</v>
      </c>
      <c r="E15" s="54">
        <f t="shared" si="9"/>
        <v>-2.833894443575953E-2</v>
      </c>
      <c r="F15" s="54">
        <f>E15/D15</f>
        <v>-0.21227766494364014</v>
      </c>
      <c r="G15" s="54">
        <f>G14/G6</f>
        <v>0.10886367061895669</v>
      </c>
      <c r="H15" s="54">
        <f t="shared" ref="H15" si="35">H14/H6</f>
        <v>0.13598907379193739</v>
      </c>
      <c r="I15" s="54">
        <f t="shared" ref="I15" si="36">I14/I6</f>
        <v>0.13766947907236321</v>
      </c>
      <c r="J15" s="54">
        <f t="shared" si="29"/>
        <v>-2.8805808453406523E-2</v>
      </c>
      <c r="K15" s="54">
        <f t="shared" si="1"/>
        <v>-0.20923888611698258</v>
      </c>
      <c r="L15" s="54">
        <f>L14/L6</f>
        <v>0.1223973779771752</v>
      </c>
      <c r="M15" s="54">
        <f t="shared" ref="M15" si="37">M14/M6</f>
        <v>0.14279240822251923</v>
      </c>
      <c r="N15" s="54">
        <f t="shared" ref="N15" si="38">N14/N6</f>
        <v>0.14166458135331395</v>
      </c>
      <c r="O15" s="54">
        <f t="shared" si="30"/>
        <v>-1.9267203376138742E-2</v>
      </c>
      <c r="P15" s="54">
        <f t="shared" si="2"/>
        <v>-0.13600579052350426</v>
      </c>
      <c r="Q15" s="54">
        <f>Q14/Q6</f>
        <v>0.12671120172024869</v>
      </c>
      <c r="R15" s="54">
        <f t="shared" ref="R15" si="39">R14/R6</f>
        <v>0.14833282469992307</v>
      </c>
      <c r="S15" s="54">
        <f t="shared" ref="S15" si="40">S14/S6</f>
        <v>0.14485775784860716</v>
      </c>
      <c r="T15" s="54">
        <f t="shared" si="31"/>
        <v>-1.8146556128358471E-2</v>
      </c>
      <c r="U15" s="54">
        <f t="shared" si="3"/>
        <v>-0.12527155188556546</v>
      </c>
      <c r="V15" s="54">
        <f>V14/V6</f>
        <v>0.12883480066238251</v>
      </c>
      <c r="W15" s="54">
        <f t="shared" ref="W15" si="41">W14/W6</f>
        <v>0.14668041979553481</v>
      </c>
      <c r="X15" s="54">
        <f t="shared" ref="X15" si="42">X14/X6</f>
        <v>0.14670519240638921</v>
      </c>
      <c r="Y15" s="54">
        <f t="shared" si="32"/>
        <v>-1.7870391744006703E-2</v>
      </c>
      <c r="Z15" s="54">
        <f t="shared" si="4"/>
        <v>-0.12181158315449252</v>
      </c>
      <c r="AA15" s="54">
        <f>AA14/AA6</f>
        <v>0.12488072044226201</v>
      </c>
      <c r="AB15" s="54">
        <f t="shared" ref="AB15" si="43">AB14/AB6</f>
        <v>0.14721457990705519</v>
      </c>
      <c r="AC15" s="54">
        <f t="shared" ref="AC15" si="44">AC14/AC6</f>
        <v>0.15041531240117575</v>
      </c>
      <c r="AD15" s="54">
        <f t="shared" si="33"/>
        <v>-2.5534591958913749E-2</v>
      </c>
      <c r="AE15" s="54">
        <f t="shared" si="5"/>
        <v>-0.16976058854174311</v>
      </c>
      <c r="AF15" s="54">
        <f>AF14/AF6</f>
        <v>0.11991141247494035</v>
      </c>
      <c r="AG15" s="54">
        <f t="shared" ref="AG15:AH15" si="45">AG14/AG6</f>
        <v>0.14280145514609616</v>
      </c>
      <c r="AH15" s="54">
        <f t="shared" si="45"/>
        <v>0.1428479179741157</v>
      </c>
      <c r="AI15" s="54">
        <f>AF15-AH15</f>
        <v>-2.293650549917535E-2</v>
      </c>
      <c r="AJ15" s="59">
        <f t="shared" ref="AJ15" si="46">AI15/AH15</f>
        <v>-0.16056590690619296</v>
      </c>
    </row>
    <row r="16" spans="1:38" x14ac:dyDescent="0.25">
      <c r="A16" s="66" t="s">
        <v>100</v>
      </c>
      <c r="B16" s="51">
        <f>_xlfn.IFNA(INDEX('P&amp;L ACTUALS+EST'!$B$3:$Y$18,MATCH('P&amp;L MONTHLY'!$A16,'P&amp;L ACTUALS+EST'!$A$3:$A$18,0),MATCH('P&amp;L MONTHLY'!B$3,'P&amp;L ACTUALS+EST'!$B$2:$Y$2,0)),0)</f>
        <v>-1573719.7579048376</v>
      </c>
      <c r="C16" s="51">
        <f>_xlfn.IFNA(INDEX('P&amp;L ACTUALS+EST'!$B$3:$Y$18,MATCH('P&amp;L MONTHLY'!$A16,'P&amp;L ACTUALS+EST'!$A$3:$A$18,0),MATCH('P&amp;L MONTHLY'!C$3,'P&amp;L ACTUALS+EST'!$B$2:$Y$2,0)),0)</f>
        <v>-1555136.0787005569</v>
      </c>
      <c r="D16" s="51">
        <f>_xlfn.IFNA(INDEX('P&amp;L ACTUALS+EST'!$B$3:$Y$18,MATCH('P&amp;L MONTHLY'!$A16,'P&amp;L ACTUALS+EST'!$A$3:$A$18,0),MATCH('P&amp;L MONTHLY'!D$3,'P&amp;L ACTUALS+EST'!$B$2:$Y$2,0)),0)</f>
        <v>-1539741.8983129349</v>
      </c>
      <c r="E16" s="51">
        <f t="shared" si="9"/>
        <v>-33977.859591902699</v>
      </c>
      <c r="F16" s="39">
        <f t="shared" si="0"/>
        <v>2.2067243626436077E-2</v>
      </c>
      <c r="G16" s="51">
        <f>_xlfn.IFNA(INDEX('P&amp;L ACTUALS+EST'!$B$3:$Y$18,MATCH('P&amp;L MONTHLY'!$A16,'P&amp;L ACTUALS+EST'!$A$3:$A$18,0),MATCH('P&amp;L MONTHLY'!G$3,'P&amp;L ACTUALS+EST'!$B$2:$Y$2,0)),0)</f>
        <v>-1593334.03959086</v>
      </c>
      <c r="H16" s="51">
        <f>_xlfn.IFNA(INDEX('P&amp;L ACTUALS+EST'!$B$3:$Y$18,MATCH('P&amp;L MONTHLY'!$A16,'P&amp;L ACTUALS+EST'!$A$3:$A$18,0),MATCH('P&amp;L MONTHLY'!H$3,'P&amp;L ACTUALS+EST'!$B$2:$Y$2,0)),0)</f>
        <v>-1562598.569672405</v>
      </c>
      <c r="I16" s="51">
        <f>_xlfn.IFNA(INDEX('P&amp;L ACTUALS+EST'!$B$3:$Y$18,MATCH('P&amp;L MONTHLY'!$A16,'P&amp;L ACTUALS+EST'!$A$3:$A$18,0),MATCH('P&amp;L MONTHLY'!I$3,'P&amp;L ACTUALS+EST'!$B$2:$Y$2,0)),0)</f>
        <v>-1539741.8983129349</v>
      </c>
      <c r="J16" s="51">
        <f t="shared" si="29"/>
        <v>-53592.141277925111</v>
      </c>
      <c r="K16" s="39">
        <f t="shared" si="1"/>
        <v>3.4805925159693954E-2</v>
      </c>
      <c r="L16" s="51">
        <f>_xlfn.IFNA(INDEX('P&amp;L ACTUALS+EST'!$B$3:$Y$18,MATCH('P&amp;L MONTHLY'!$A16,'P&amp;L ACTUALS+EST'!$A$3:$A$18,0),MATCH('P&amp;L MONTHLY'!L$3,'P&amp;L ACTUALS+EST'!$B$2:$Y$2,0)),0)</f>
        <v>-1595185.6854267872</v>
      </c>
      <c r="M16" s="51">
        <f>_xlfn.IFNA(INDEX('P&amp;L ACTUALS+EST'!$B$3:$Y$18,MATCH('P&amp;L MONTHLY'!$A16,'P&amp;L ACTUALS+EST'!$A$3:$A$18,0),MATCH('P&amp;L MONTHLY'!M$3,'P&amp;L ACTUALS+EST'!$B$2:$Y$2,0)),0)</f>
        <v>-1567811.9875059724</v>
      </c>
      <c r="N16" s="51">
        <f>_xlfn.IFNA(INDEX('P&amp;L ACTUALS+EST'!$B$3:$Y$18,MATCH('P&amp;L MONTHLY'!$A16,'P&amp;L ACTUALS+EST'!$A$3:$A$18,0),MATCH('P&amp;L MONTHLY'!N$3,'P&amp;L ACTUALS+EST'!$B$2:$Y$2,0)),0)</f>
        <v>-1539741.8983129349</v>
      </c>
      <c r="O16" s="51">
        <f t="shared" si="30"/>
        <v>-55443.787113852333</v>
      </c>
      <c r="P16" s="39">
        <f t="shared" si="2"/>
        <v>3.6008494134374736E-2</v>
      </c>
      <c r="Q16" s="51">
        <f>_xlfn.IFNA(INDEX('P&amp;L ACTUALS+EST'!$B$3:$Y$18,MATCH('P&amp;L MONTHLY'!$A16,'P&amp;L ACTUALS+EST'!$A$3:$A$18,0),MATCH('P&amp;L MONTHLY'!Q$3,'P&amp;L ACTUALS+EST'!$B$2:$Y$2,0)),0)</f>
        <v>-1591764.2856023083</v>
      </c>
      <c r="R16" s="51">
        <f>_xlfn.IFNA(INDEX('P&amp;L ACTUALS+EST'!$B$3:$Y$18,MATCH('P&amp;L MONTHLY'!$A16,'P&amp;L ACTUALS+EST'!$A$3:$A$18,0),MATCH('P&amp;L MONTHLY'!R$3,'P&amp;L ACTUALS+EST'!$B$2:$Y$2,0)),0)</f>
        <v>-1544263.1500471423</v>
      </c>
      <c r="S16" s="51">
        <f>_xlfn.IFNA(INDEX('P&amp;L ACTUALS+EST'!$B$3:$Y$18,MATCH('P&amp;L MONTHLY'!$A16,'P&amp;L ACTUALS+EST'!$A$3:$A$18,0),MATCH('P&amp;L MONTHLY'!S$3,'P&amp;L ACTUALS+EST'!$B$2:$Y$2,0)),0)</f>
        <v>-1539741.8983129349</v>
      </c>
      <c r="T16" s="51">
        <f t="shared" si="31"/>
        <v>-52022.387289373437</v>
      </c>
      <c r="U16" s="39">
        <f t="shared" si="3"/>
        <v>3.3786433522639964E-2</v>
      </c>
      <c r="V16" s="51">
        <f>_xlfn.IFNA(INDEX('P&amp;L ACTUALS+EST'!$B$3:$Y$18,MATCH('P&amp;L MONTHLY'!$A16,'P&amp;L ACTUALS+EST'!$A$3:$A$18,0),MATCH('P&amp;L MONTHLY'!V$3,'P&amp;L ACTUALS+EST'!$B$2:$Y$2,0)),0)</f>
        <v>-1581072.5929686164</v>
      </c>
      <c r="W16" s="51">
        <f>_xlfn.IFNA(INDEX('P&amp;L ACTUALS+EST'!$B$3:$Y$18,MATCH('P&amp;L MONTHLY'!$A16,'P&amp;L ACTUALS+EST'!$A$3:$A$18,0),MATCH('P&amp;L MONTHLY'!W$3,'P&amp;L ACTUALS+EST'!$B$2:$Y$2,0)),0)</f>
        <v>-1539991.1486449142</v>
      </c>
      <c r="X16" s="51">
        <f>_xlfn.IFNA(INDEX('P&amp;L ACTUALS+EST'!$B$3:$Y$18,MATCH('P&amp;L MONTHLY'!$A16,'P&amp;L ACTUALS+EST'!$A$3:$A$18,0),MATCH('P&amp;L MONTHLY'!X$3,'P&amp;L ACTUALS+EST'!$B$2:$Y$2,0)),0)</f>
        <v>-1539741.8983129349</v>
      </c>
      <c r="Y16" s="51">
        <f t="shared" si="32"/>
        <v>-41330.694655681495</v>
      </c>
      <c r="Z16" s="39">
        <f t="shared" si="4"/>
        <v>2.6842612194268877E-2</v>
      </c>
      <c r="AA16" s="51">
        <f>_xlfn.IFNA(INDEX('P&amp;L ACTUALS+EST'!$B$3:$Y$18,MATCH('P&amp;L MONTHLY'!$A16,'P&amp;L ACTUALS+EST'!$A$3:$A$18,0),MATCH('P&amp;L MONTHLY'!AA$3,'P&amp;L ACTUALS+EST'!$B$2:$Y$2,0)),0)</f>
        <v>-1592239.5109132777</v>
      </c>
      <c r="AB16" s="51">
        <f>_xlfn.IFNA(INDEX('P&amp;L ACTUALS+EST'!$B$3:$Y$18,MATCH('P&amp;L MONTHLY'!$A16,'P&amp;L ACTUALS+EST'!$A$3:$A$18,0),MATCH('P&amp;L MONTHLY'!AB$3,'P&amp;L ACTUALS+EST'!$B$2:$Y$2,0)),0)</f>
        <v>-1548088.7760518068</v>
      </c>
      <c r="AC16" s="51">
        <f>_xlfn.IFNA(INDEX('P&amp;L ACTUALS+EST'!$B$3:$Y$18,MATCH('P&amp;L MONTHLY'!$A16,'P&amp;L ACTUALS+EST'!$A$3:$A$18,0),MATCH('P&amp;L MONTHLY'!AC$3,'P&amp;L ACTUALS+EST'!$B$2:$Y$2,0)),0)</f>
        <v>-1539741.8983129349</v>
      </c>
      <c r="AD16" s="51">
        <f t="shared" si="33"/>
        <v>-52497.612600342836</v>
      </c>
      <c r="AE16" s="39">
        <f t="shared" si="5"/>
        <v>3.4095073114437845E-2</v>
      </c>
      <c r="AF16" s="51">
        <f t="shared" si="6"/>
        <v>-9527315.8724066876</v>
      </c>
      <c r="AG16" s="51">
        <f t="shared" si="6"/>
        <v>-9317889.7106227968</v>
      </c>
      <c r="AH16" s="51">
        <f t="shared" si="6"/>
        <v>-9238451.3898776099</v>
      </c>
      <c r="AI16" s="51">
        <f t="shared" si="7"/>
        <v>-209426.1617838908</v>
      </c>
      <c r="AJ16" s="57">
        <f t="shared" si="8"/>
        <v>3.1267630291975212E-2</v>
      </c>
    </row>
    <row r="17" spans="1:36" x14ac:dyDescent="0.25">
      <c r="A17" s="66" t="s">
        <v>101</v>
      </c>
      <c r="B17" s="51">
        <f>_xlfn.IFNA(INDEX('P&amp;L ACTUALS+EST'!$B$3:$Y$18,MATCH('P&amp;L MONTHLY'!$A17,'P&amp;L ACTUALS+EST'!$A$3:$A$18,0),MATCH('P&amp;L MONTHLY'!B$3,'P&amp;L ACTUALS+EST'!$B$2:$Y$2,0)),0)</f>
        <v>-573154.50525299995</v>
      </c>
      <c r="C17" s="51">
        <f>_xlfn.IFNA(INDEX('P&amp;L ACTUALS+EST'!$B$3:$Y$18,MATCH('P&amp;L MONTHLY'!$A17,'P&amp;L ACTUALS+EST'!$A$3:$A$18,0),MATCH('P&amp;L MONTHLY'!C$3,'P&amp;L ACTUALS+EST'!$B$2:$Y$2,0)),0)</f>
        <v>-555504.43782212515</v>
      </c>
      <c r="D17" s="51">
        <f>_xlfn.IFNA(INDEX('P&amp;L ACTUALS+EST'!$B$3:$Y$18,MATCH('P&amp;L MONTHLY'!$A17,'P&amp;L ACTUALS+EST'!$A$3:$A$18,0),MATCH('P&amp;L MONTHLY'!D$3,'P&amp;L ACTUALS+EST'!$B$2:$Y$2,0)),0)</f>
        <v>-594389.74846967391</v>
      </c>
      <c r="E17" s="51">
        <f t="shared" si="9"/>
        <v>21235.24321667396</v>
      </c>
      <c r="F17" s="39">
        <f t="shared" si="0"/>
        <v>-3.5726126285566977E-2</v>
      </c>
      <c r="G17" s="51">
        <f>_xlfn.IFNA(INDEX('P&amp;L ACTUALS+EST'!$B$3:$Y$18,MATCH('P&amp;L MONTHLY'!$A17,'P&amp;L ACTUALS+EST'!$A$3:$A$18,0),MATCH('P&amp;L MONTHLY'!G$3,'P&amp;L ACTUALS+EST'!$B$2:$Y$2,0)),0)</f>
        <v>-605023.02103809325</v>
      </c>
      <c r="H17" s="51">
        <f>_xlfn.IFNA(INDEX('P&amp;L ACTUALS+EST'!$B$3:$Y$18,MATCH('P&amp;L MONTHLY'!$A17,'P&amp;L ACTUALS+EST'!$A$3:$A$18,0),MATCH('P&amp;L MONTHLY'!H$3,'P&amp;L ACTUALS+EST'!$B$2:$Y$2,0)),0)</f>
        <v>-611920.60978982924</v>
      </c>
      <c r="I17" s="51">
        <f>_xlfn.IFNA(INDEX('P&amp;L ACTUALS+EST'!$B$3:$Y$18,MATCH('P&amp;L MONTHLY'!$A17,'P&amp;L ACTUALS+EST'!$A$3:$A$18,0),MATCH('P&amp;L MONTHLY'!I$3,'P&amp;L ACTUALS+EST'!$B$2:$Y$2,0)),0)</f>
        <v>-654755.05247511726</v>
      </c>
      <c r="J17" s="51">
        <f t="shared" si="29"/>
        <v>49732.031437024008</v>
      </c>
      <c r="K17" s="39">
        <f t="shared" si="1"/>
        <v>-7.595517018009415E-2</v>
      </c>
      <c r="L17" s="51">
        <f>_xlfn.IFNA(INDEX('P&amp;L ACTUALS+EST'!$B$3:$Y$18,MATCH('P&amp;L MONTHLY'!$A17,'P&amp;L ACTUALS+EST'!$A$3:$A$18,0),MATCH('P&amp;L MONTHLY'!L$3,'P&amp;L ACTUALS+EST'!$B$2:$Y$2,0)),0)</f>
        <v>-684557.03908144578</v>
      </c>
      <c r="M17" s="51">
        <f>_xlfn.IFNA(INDEX('P&amp;L ACTUALS+EST'!$B$3:$Y$18,MATCH('P&amp;L MONTHLY'!$A17,'P&amp;L ACTUALS+EST'!$A$3:$A$18,0),MATCH('P&amp;L MONTHLY'!M$3,'P&amp;L ACTUALS+EST'!$B$2:$Y$2,0)),0)</f>
        <v>-712614.06686968368</v>
      </c>
      <c r="N17" s="51">
        <f>_xlfn.IFNA(INDEX('P&amp;L ACTUALS+EST'!$B$3:$Y$18,MATCH('P&amp;L MONTHLY'!$A17,'P&amp;L ACTUALS+EST'!$A$3:$A$18,0),MATCH('P&amp;L MONTHLY'!N$3,'P&amp;L ACTUALS+EST'!$B$2:$Y$2,0)),0)</f>
        <v>-762497.05155056156</v>
      </c>
      <c r="O17" s="51">
        <f t="shared" si="30"/>
        <v>77940.012469115783</v>
      </c>
      <c r="P17" s="39">
        <f t="shared" si="2"/>
        <v>-0.10221680504943899</v>
      </c>
      <c r="Q17" s="51">
        <f>_xlfn.IFNA(INDEX('P&amp;L ACTUALS+EST'!$B$3:$Y$18,MATCH('P&amp;L MONTHLY'!$A17,'P&amp;L ACTUALS+EST'!$A$3:$A$18,0),MATCH('P&amp;L MONTHLY'!Q$3,'P&amp;L ACTUALS+EST'!$B$2:$Y$2,0)),0)</f>
        <v>-651867.46725663892</v>
      </c>
      <c r="R17" s="51">
        <f>_xlfn.IFNA(INDEX('P&amp;L ACTUALS+EST'!$B$3:$Y$18,MATCH('P&amp;L MONTHLY'!$A17,'P&amp;L ACTUALS+EST'!$A$3:$A$18,0),MATCH('P&amp;L MONTHLY'!R$3,'P&amp;L ACTUALS+EST'!$B$2:$Y$2,0)),0)</f>
        <v>-746636.60592336848</v>
      </c>
      <c r="S17" s="51">
        <f>_xlfn.IFNA(INDEX('P&amp;L ACTUALS+EST'!$B$3:$Y$18,MATCH('P&amp;L MONTHLY'!$A17,'P&amp;L ACTUALS+EST'!$A$3:$A$18,0),MATCH('P&amp;L MONTHLY'!S$3,'P&amp;L ACTUALS+EST'!$B$2:$Y$2,0)),0)</f>
        <v>-798901.16833800438</v>
      </c>
      <c r="T17" s="51">
        <f t="shared" si="31"/>
        <v>147033.70108136546</v>
      </c>
      <c r="U17" s="39">
        <f t="shared" si="3"/>
        <v>-0.18404491933244674</v>
      </c>
      <c r="V17" s="51">
        <f>_xlfn.IFNA(INDEX('P&amp;L ACTUALS+EST'!$B$3:$Y$18,MATCH('P&amp;L MONTHLY'!$A17,'P&amp;L ACTUALS+EST'!$A$3:$A$18,0),MATCH('P&amp;L MONTHLY'!V$3,'P&amp;L ACTUALS+EST'!$B$2:$Y$2,0)),0)</f>
        <v>-566308.49974276952</v>
      </c>
      <c r="W17" s="51">
        <f>_xlfn.IFNA(INDEX('P&amp;L ACTUALS+EST'!$B$3:$Y$18,MATCH('P&amp;L MONTHLY'!$A17,'P&amp;L ACTUALS+EST'!$A$3:$A$18,0),MATCH('P&amp;L MONTHLY'!W$3,'P&amp;L ACTUALS+EST'!$B$2:$Y$2,0)),0)</f>
        <v>-671683.76005500008</v>
      </c>
      <c r="X17" s="51">
        <f>_xlfn.IFNA(INDEX('P&amp;L ACTUALS+EST'!$B$3:$Y$18,MATCH('P&amp;L MONTHLY'!$A17,'P&amp;L ACTUALS+EST'!$A$3:$A$18,0),MATCH('P&amp;L MONTHLY'!X$3,'P&amp;L ACTUALS+EST'!$B$2:$Y$2,0)),0)</f>
        <v>-718701.62325885019</v>
      </c>
      <c r="Y17" s="51">
        <f t="shared" si="32"/>
        <v>152393.12351608067</v>
      </c>
      <c r="Z17" s="39">
        <f t="shared" si="4"/>
        <v>-0.21203948701976733</v>
      </c>
      <c r="AA17" s="51">
        <f>_xlfn.IFNA(INDEX('P&amp;L ACTUALS+EST'!$B$3:$Y$18,MATCH('P&amp;L MONTHLY'!$A17,'P&amp;L ACTUALS+EST'!$A$3:$A$18,0),MATCH('P&amp;L MONTHLY'!AA$3,'P&amp;L ACTUALS+EST'!$B$2:$Y$2,0)),0)</f>
        <v>-555936.71840190014</v>
      </c>
      <c r="AB17" s="51">
        <f>_xlfn.IFNA(INDEX('P&amp;L ACTUALS+EST'!$B$3:$Y$18,MATCH('P&amp;L MONTHLY'!$A17,'P&amp;L ACTUALS+EST'!$A$3:$A$18,0),MATCH('P&amp;L MONTHLY'!AB$3,'P&amp;L ACTUALS+EST'!$B$2:$Y$2,0)),0)</f>
        <v>-634858.81910000008</v>
      </c>
      <c r="AC17" s="51">
        <f>_xlfn.IFNA(INDEX('P&amp;L ACTUALS+EST'!$B$3:$Y$18,MATCH('P&amp;L MONTHLY'!$A17,'P&amp;L ACTUALS+EST'!$A$3:$A$18,0),MATCH('P&amp;L MONTHLY'!AC$3,'P&amp;L ACTUALS+EST'!$B$2:$Y$2,0)),0)</f>
        <v>-679298.93643700017</v>
      </c>
      <c r="AD17" s="51">
        <f t="shared" si="33"/>
        <v>123362.21803510003</v>
      </c>
      <c r="AE17" s="39">
        <f t="shared" si="5"/>
        <v>-0.18160225405643771</v>
      </c>
      <c r="AF17" s="51">
        <f t="shared" si="6"/>
        <v>-3636847.2507738476</v>
      </c>
      <c r="AG17" s="51">
        <f t="shared" si="6"/>
        <v>-3933218.2995600067</v>
      </c>
      <c r="AH17" s="51">
        <f t="shared" si="6"/>
        <v>-4208543.5805292074</v>
      </c>
      <c r="AI17" s="51">
        <f t="shared" si="7"/>
        <v>296371.04878615914</v>
      </c>
      <c r="AJ17" s="57">
        <f t="shared" si="8"/>
        <v>-0.13584184619123543</v>
      </c>
    </row>
    <row r="18" spans="1:36" x14ac:dyDescent="0.25">
      <c r="A18" s="66" t="s">
        <v>104</v>
      </c>
      <c r="B18" s="51">
        <f>_xlfn.IFNA(INDEX('P&amp;L ACTUALS+EST'!$B$3:$Y$18,MATCH('P&amp;L MONTHLY'!$A18,'P&amp;L ACTUALS+EST'!$A$3:$A$18,0),MATCH('P&amp;L MONTHLY'!B$3,'P&amp;L ACTUALS+EST'!$B$2:$Y$2,0)),0)</f>
        <v>-96777.789966000011</v>
      </c>
      <c r="C18" s="51">
        <f>_xlfn.IFNA(INDEX('P&amp;L ACTUALS+EST'!$B$3:$Y$18,MATCH('P&amp;L MONTHLY'!$A18,'P&amp;L ACTUALS+EST'!$A$3:$A$18,0),MATCH('P&amp;L MONTHLY'!C$3,'P&amp;L ACTUALS+EST'!$B$2:$Y$2,0)),0)</f>
        <v>-97865.595786750011</v>
      </c>
      <c r="D18" s="51">
        <f>_xlfn.IFNA(INDEX('P&amp;L ACTUALS+EST'!$B$3:$Y$18,MATCH('P&amp;L MONTHLY'!$A18,'P&amp;L ACTUALS+EST'!$A$3:$A$18,0),MATCH('P&amp;L MONTHLY'!D$3,'P&amp;L ACTUALS+EST'!$B$2:$Y$2,0)),0)</f>
        <v>-98844.251744617504</v>
      </c>
      <c r="E18" s="51">
        <f t="shared" si="9"/>
        <v>2066.4617786174931</v>
      </c>
      <c r="F18" s="39">
        <f t="shared" si="0"/>
        <v>-2.0906241305327308E-2</v>
      </c>
      <c r="G18" s="51">
        <f>_xlfn.IFNA(INDEX('P&amp;L ACTUALS+EST'!$B$3:$Y$18,MATCH('P&amp;L MONTHLY'!$A18,'P&amp;L ACTUALS+EST'!$A$3:$A$18,0),MATCH('P&amp;L MONTHLY'!G$3,'P&amp;L ACTUALS+EST'!$B$2:$Y$2,0)),0)</f>
        <v>-96777.789966000011</v>
      </c>
      <c r="H18" s="51">
        <f>_xlfn.IFNA(INDEX('P&amp;L ACTUALS+EST'!$B$3:$Y$18,MATCH('P&amp;L MONTHLY'!$A18,'P&amp;L ACTUALS+EST'!$A$3:$A$18,0),MATCH('P&amp;L MONTHLY'!H$3,'P&amp;L ACTUALS+EST'!$B$2:$Y$2,0)),0)</f>
        <v>-97865.595786750011</v>
      </c>
      <c r="I18" s="51">
        <f>_xlfn.IFNA(INDEX('P&amp;L ACTUALS+EST'!$B$3:$Y$18,MATCH('P&amp;L MONTHLY'!$A18,'P&amp;L ACTUALS+EST'!$A$3:$A$18,0),MATCH('P&amp;L MONTHLY'!I$3,'P&amp;L ACTUALS+EST'!$B$2:$Y$2,0)),0)</f>
        <v>-98844.251744617504</v>
      </c>
      <c r="J18" s="51">
        <f t="shared" si="29"/>
        <v>2066.4617786174931</v>
      </c>
      <c r="K18" s="39">
        <f t="shared" si="1"/>
        <v>-2.0906241305327308E-2</v>
      </c>
      <c r="L18" s="51">
        <f>_xlfn.IFNA(INDEX('P&amp;L ACTUALS+EST'!$B$3:$Y$18,MATCH('P&amp;L MONTHLY'!$A18,'P&amp;L ACTUALS+EST'!$A$3:$A$18,0),MATCH('P&amp;L MONTHLY'!L$3,'P&amp;L ACTUALS+EST'!$B$2:$Y$2,0)),0)</f>
        <v>-96777.789966000011</v>
      </c>
      <c r="M18" s="51">
        <f>_xlfn.IFNA(INDEX('P&amp;L ACTUALS+EST'!$B$3:$Y$18,MATCH('P&amp;L MONTHLY'!$A18,'P&amp;L ACTUALS+EST'!$A$3:$A$18,0),MATCH('P&amp;L MONTHLY'!M$3,'P&amp;L ACTUALS+EST'!$B$2:$Y$2,0)),0)</f>
        <v>-97605.446573250039</v>
      </c>
      <c r="N18" s="51">
        <f>_xlfn.IFNA(INDEX('P&amp;L ACTUALS+EST'!$B$3:$Y$18,MATCH('P&amp;L MONTHLY'!$A18,'P&amp;L ACTUALS+EST'!$A$3:$A$18,0),MATCH('P&amp;L MONTHLY'!N$3,'P&amp;L ACTUALS+EST'!$B$2:$Y$2,0)),0)</f>
        <v>-98581.501038982533</v>
      </c>
      <c r="O18" s="51">
        <f t="shared" si="30"/>
        <v>1803.7110729825217</v>
      </c>
      <c r="P18" s="39">
        <f t="shared" si="2"/>
        <v>-1.8296648498680013E-2</v>
      </c>
      <c r="Q18" s="51">
        <f>_xlfn.IFNA(INDEX('P&amp;L ACTUALS+EST'!$B$3:$Y$18,MATCH('P&amp;L MONTHLY'!$A18,'P&amp;L ACTUALS+EST'!$A$3:$A$18,0),MATCH('P&amp;L MONTHLY'!Q$3,'P&amp;L ACTUALS+EST'!$B$2:$Y$2,0)),0)</f>
        <v>-96777.789966000011</v>
      </c>
      <c r="R18" s="51">
        <f>_xlfn.IFNA(INDEX('P&amp;L ACTUALS+EST'!$B$3:$Y$18,MATCH('P&amp;L MONTHLY'!$A18,'P&amp;L ACTUALS+EST'!$A$3:$A$18,0),MATCH('P&amp;L MONTHLY'!R$3,'P&amp;L ACTUALS+EST'!$B$2:$Y$2,0)),0)</f>
        <v>-97605.446573250039</v>
      </c>
      <c r="S18" s="51">
        <f>_xlfn.IFNA(INDEX('P&amp;L ACTUALS+EST'!$B$3:$Y$18,MATCH('P&amp;L MONTHLY'!$A18,'P&amp;L ACTUALS+EST'!$A$3:$A$18,0),MATCH('P&amp;L MONTHLY'!S$3,'P&amp;L ACTUALS+EST'!$B$2:$Y$2,0)),0)</f>
        <v>-98581.501038982533</v>
      </c>
      <c r="T18" s="51">
        <f t="shared" si="31"/>
        <v>1803.7110729825217</v>
      </c>
      <c r="U18" s="39">
        <f t="shared" si="3"/>
        <v>-1.8296648498680013E-2</v>
      </c>
      <c r="V18" s="51">
        <f>_xlfn.IFNA(INDEX('P&amp;L ACTUALS+EST'!$B$3:$Y$18,MATCH('P&amp;L MONTHLY'!$A18,'P&amp;L ACTUALS+EST'!$A$3:$A$18,0),MATCH('P&amp;L MONTHLY'!V$3,'P&amp;L ACTUALS+EST'!$B$2:$Y$2,0)),0)</f>
        <v>-96777.789966000011</v>
      </c>
      <c r="W18" s="51">
        <f>_xlfn.IFNA(INDEX('P&amp;L ACTUALS+EST'!$B$3:$Y$18,MATCH('P&amp;L MONTHLY'!$A18,'P&amp;L ACTUALS+EST'!$A$3:$A$18,0),MATCH('P&amp;L MONTHLY'!W$3,'P&amp;L ACTUALS+EST'!$B$2:$Y$2,0)),0)</f>
        <v>-97605.446573250039</v>
      </c>
      <c r="X18" s="51">
        <f>_xlfn.IFNA(INDEX('P&amp;L ACTUALS+EST'!$B$3:$Y$18,MATCH('P&amp;L MONTHLY'!$A18,'P&amp;L ACTUALS+EST'!$A$3:$A$18,0),MATCH('P&amp;L MONTHLY'!X$3,'P&amp;L ACTUALS+EST'!$B$2:$Y$2,0)),0)</f>
        <v>-98581.501038982533</v>
      </c>
      <c r="Y18" s="51">
        <f t="shared" si="32"/>
        <v>1803.7110729825217</v>
      </c>
      <c r="Z18" s="39">
        <f t="shared" si="4"/>
        <v>-1.8296648498680013E-2</v>
      </c>
      <c r="AA18" s="51">
        <f>_xlfn.IFNA(INDEX('P&amp;L ACTUALS+EST'!$B$3:$Y$18,MATCH('P&amp;L MONTHLY'!$A18,'P&amp;L ACTUALS+EST'!$A$3:$A$18,0),MATCH('P&amp;L MONTHLY'!AA$3,'P&amp;L ACTUALS+EST'!$B$2:$Y$2,0)),0)</f>
        <v>-96777.789966000011</v>
      </c>
      <c r="AB18" s="51">
        <f>_xlfn.IFNA(INDEX('P&amp;L ACTUALS+EST'!$B$3:$Y$18,MATCH('P&amp;L MONTHLY'!$A18,'P&amp;L ACTUALS+EST'!$A$3:$A$18,0),MATCH('P&amp;L MONTHLY'!AB$3,'P&amp;L ACTUALS+EST'!$B$2:$Y$2,0)),0)</f>
        <v>-97610.712100000004</v>
      </c>
      <c r="AC18" s="51">
        <f>_xlfn.IFNA(INDEX('P&amp;L ACTUALS+EST'!$B$3:$Y$18,MATCH('P&amp;L MONTHLY'!$A18,'P&amp;L ACTUALS+EST'!$A$3:$A$18,0),MATCH('P&amp;L MONTHLY'!AC$3,'P&amp;L ACTUALS+EST'!$B$2:$Y$2,0)),0)</f>
        <v>-98586.819221000012</v>
      </c>
      <c r="AD18" s="51">
        <f t="shared" si="33"/>
        <v>1809.0292550000013</v>
      </c>
      <c r="AE18" s="39">
        <f t="shared" si="5"/>
        <v>-1.8349605650069083E-2</v>
      </c>
      <c r="AF18" s="51">
        <f t="shared" si="6"/>
        <v>-580666.73979600007</v>
      </c>
      <c r="AG18" s="51">
        <f t="shared" si="6"/>
        <v>-586158.24339325016</v>
      </c>
      <c r="AH18" s="51">
        <f t="shared" si="6"/>
        <v>-592019.82582718262</v>
      </c>
      <c r="AI18" s="51">
        <f t="shared" si="7"/>
        <v>5491.5035972500918</v>
      </c>
      <c r="AJ18" s="57">
        <f t="shared" si="8"/>
        <v>-1.91768679626899E-2</v>
      </c>
    </row>
    <row r="19" spans="1:36" x14ac:dyDescent="0.25">
      <c r="A19" s="66" t="s">
        <v>103</v>
      </c>
      <c r="B19" s="51">
        <f>_xlfn.IFNA(INDEX('P&amp;L ACTUALS+EST'!$B$3:$Y$18,MATCH('P&amp;L MONTHLY'!$A19,'P&amp;L ACTUALS+EST'!$A$3:$A$18,0),MATCH('P&amp;L MONTHLY'!B$3,'P&amp;L ACTUALS+EST'!$B$2:$Y$2,0)),0)</f>
        <v>-12843.859842000002</v>
      </c>
      <c r="C19" s="51">
        <f>_xlfn.IFNA(INDEX('P&amp;L ACTUALS+EST'!$B$3:$Y$18,MATCH('P&amp;L MONTHLY'!$A19,'P&amp;L ACTUALS+EST'!$A$3:$A$18,0),MATCH('P&amp;L MONTHLY'!C$3,'P&amp;L ACTUALS+EST'!$B$2:$Y$2,0)),0)</f>
        <v>-12827.642847250003</v>
      </c>
      <c r="D19" s="51">
        <f>_xlfn.IFNA(INDEX('P&amp;L ACTUALS+EST'!$B$3:$Y$18,MATCH('P&amp;L MONTHLY'!$A19,'P&amp;L ACTUALS+EST'!$A$3:$A$18,0),MATCH('P&amp;L MONTHLY'!D$3,'P&amp;L ACTUALS+EST'!$B$2:$Y$2,0)),0)</f>
        <v>-14849.600051047786</v>
      </c>
      <c r="E19" s="51">
        <f t="shared" si="9"/>
        <v>2005.7402090477844</v>
      </c>
      <c r="F19" s="39">
        <f t="shared" si="0"/>
        <v>-0.13507031853738441</v>
      </c>
      <c r="G19" s="51">
        <f>_xlfn.IFNA(INDEX('P&amp;L ACTUALS+EST'!$B$3:$Y$18,MATCH('P&amp;L MONTHLY'!$A19,'P&amp;L ACTUALS+EST'!$A$3:$A$18,0),MATCH('P&amp;L MONTHLY'!G$3,'P&amp;L ACTUALS+EST'!$B$2:$Y$2,0)),0)</f>
        <v>-9002.1466260000016</v>
      </c>
      <c r="H19" s="51">
        <f>_xlfn.IFNA(INDEX('P&amp;L ACTUALS+EST'!$B$3:$Y$18,MATCH('P&amp;L MONTHLY'!$A19,'P&amp;L ACTUALS+EST'!$A$3:$A$18,0),MATCH('P&amp;L MONTHLY'!H$3,'P&amp;L ACTUALS+EST'!$B$2:$Y$2,0)),0)</f>
        <v>-8990.7802792500006</v>
      </c>
      <c r="I19" s="51">
        <f>_xlfn.IFNA(INDEX('P&amp;L ACTUALS+EST'!$B$3:$Y$18,MATCH('P&amp;L MONTHLY'!$A19,'P&amp;L ACTUALS+EST'!$A$3:$A$18,0),MATCH('P&amp;L MONTHLY'!I$3,'P&amp;L ACTUALS+EST'!$B$2:$Y$2,0)),0)</f>
        <v>-10407.952020766785</v>
      </c>
      <c r="J19" s="51">
        <f t="shared" si="29"/>
        <v>1405.8053947667831</v>
      </c>
      <c r="K19" s="39">
        <f t="shared" si="1"/>
        <v>-0.13507031853738438</v>
      </c>
      <c r="L19" s="51">
        <f>_xlfn.IFNA(INDEX('P&amp;L ACTUALS+EST'!$B$3:$Y$18,MATCH('P&amp;L MONTHLY'!$A19,'P&amp;L ACTUALS+EST'!$A$3:$A$18,0),MATCH('P&amp;L MONTHLY'!L$3,'P&amp;L ACTUALS+EST'!$B$2:$Y$2,0)),0)</f>
        <v>-674.07030900000018</v>
      </c>
      <c r="M19" s="51">
        <f>_xlfn.IFNA(INDEX('P&amp;L ACTUALS+EST'!$B$3:$Y$18,MATCH('P&amp;L MONTHLY'!$A19,'P&amp;L ACTUALS+EST'!$A$3:$A$18,0),MATCH('P&amp;L MONTHLY'!M$3,'P&amp;L ACTUALS+EST'!$B$2:$Y$2,0)),0)</f>
        <v>0</v>
      </c>
      <c r="N19" s="51">
        <f>_xlfn.IFNA(INDEX('P&amp;L ACTUALS+EST'!$B$3:$Y$18,MATCH('P&amp;L MONTHLY'!$A19,'P&amp;L ACTUALS+EST'!$A$3:$A$18,0),MATCH('P&amp;L MONTHLY'!N$3,'P&amp;L ACTUALS+EST'!$B$2:$Y$2,0)),0)</f>
        <v>0</v>
      </c>
      <c r="O19" s="51">
        <f t="shared" si="30"/>
        <v>-674.07030900000018</v>
      </c>
      <c r="P19" s="39">
        <f>IFERROR(O19/N19,)</f>
        <v>0</v>
      </c>
      <c r="Q19" s="51">
        <f>_xlfn.IFNA(INDEX('P&amp;L ACTUALS+EST'!$B$3:$Y$18,MATCH('P&amp;L MONTHLY'!$A19,'P&amp;L ACTUALS+EST'!$A$3:$A$18,0),MATCH('P&amp;L MONTHLY'!Q$3,'P&amp;L ACTUALS+EST'!$B$2:$Y$2,0)),0)</f>
        <v>-782.94744000000003</v>
      </c>
      <c r="R19" s="51">
        <f>_xlfn.IFNA(INDEX('P&amp;L ACTUALS+EST'!$B$3:$Y$18,MATCH('P&amp;L MONTHLY'!$A19,'P&amp;L ACTUALS+EST'!$A$3:$A$18,0),MATCH('P&amp;L MONTHLY'!R$3,'P&amp;L ACTUALS+EST'!$B$2:$Y$2,0)),0)</f>
        <v>-3847.8000000000006</v>
      </c>
      <c r="S19" s="51">
        <f>_xlfn.IFNA(INDEX('P&amp;L ACTUALS+EST'!$B$3:$Y$18,MATCH('P&amp;L MONTHLY'!$A19,'P&amp;L ACTUALS+EST'!$A$3:$A$18,0),MATCH('P&amp;L MONTHLY'!S$3,'P&amp;L ACTUALS+EST'!$B$2:$Y$2,0)),0)</f>
        <v>-4454.3094750000009</v>
      </c>
      <c r="T19" s="51">
        <f t="shared" si="31"/>
        <v>3671.362035000001</v>
      </c>
      <c r="U19" s="39">
        <f t="shared" si="3"/>
        <v>-0.82422697740371986</v>
      </c>
      <c r="V19" s="51">
        <f>_xlfn.IFNA(INDEX('P&amp;L ACTUALS+EST'!$B$3:$Y$18,MATCH('P&amp;L MONTHLY'!$A19,'P&amp;L ACTUALS+EST'!$A$3:$A$18,0),MATCH('P&amp;L MONTHLY'!V$3,'P&amp;L ACTUALS+EST'!$B$2:$Y$2,0)),0)</f>
        <v>-1103.4935010000002</v>
      </c>
      <c r="W19" s="51">
        <f>_xlfn.IFNA(INDEX('P&amp;L ACTUALS+EST'!$B$3:$Y$18,MATCH('P&amp;L MONTHLY'!$A19,'P&amp;L ACTUALS+EST'!$A$3:$A$18,0),MATCH('P&amp;L MONTHLY'!W$3,'P&amp;L ACTUALS+EST'!$B$2:$Y$2,0)),0)</f>
        <v>-7295.2231000000002</v>
      </c>
      <c r="X19" s="51">
        <f>_xlfn.IFNA(INDEX('P&amp;L ACTUALS+EST'!$B$3:$Y$18,MATCH('P&amp;L MONTHLY'!$A19,'P&amp;L ACTUALS+EST'!$A$3:$A$18,0),MATCH('P&amp;L MONTHLY'!X$3,'P&amp;L ACTUALS+EST'!$B$2:$Y$2,0)),0)</f>
        <v>-8445.132641137503</v>
      </c>
      <c r="Y19" s="51">
        <f t="shared" si="32"/>
        <v>7341.6391401375031</v>
      </c>
      <c r="Z19" s="39">
        <f t="shared" si="4"/>
        <v>-0.86933378694080921</v>
      </c>
      <c r="AA19" s="51">
        <f>_xlfn.IFNA(INDEX('P&amp;L ACTUALS+EST'!$B$3:$Y$18,MATCH('P&amp;L MONTHLY'!$A19,'P&amp;L ACTUALS+EST'!$A$3:$A$18,0),MATCH('P&amp;L MONTHLY'!AA$3,'P&amp;L ACTUALS+EST'!$B$2:$Y$2,0)),0)</f>
        <v>-4852.5611310000004</v>
      </c>
      <c r="AB19" s="51">
        <f>_xlfn.IFNA(INDEX('P&amp;L ACTUALS+EST'!$B$3:$Y$18,MATCH('P&amp;L MONTHLY'!$A19,'P&amp;L ACTUALS+EST'!$A$3:$A$18,0),MATCH('P&amp;L MONTHLY'!AB$3,'P&amp;L ACTUALS+EST'!$B$2:$Y$2,0)),0)</f>
        <v>-7630.3810000000012</v>
      </c>
      <c r="AC19" s="51">
        <f>_xlfn.IFNA(INDEX('P&amp;L ACTUALS+EST'!$B$3:$Y$18,MATCH('P&amp;L MONTHLY'!$A19,'P&amp;L ACTUALS+EST'!$A$3:$A$18,0),MATCH('P&amp;L MONTHLY'!AC$3,'P&amp;L ACTUALS+EST'!$B$2:$Y$2,0)),0)</f>
        <v>-8833.119805125003</v>
      </c>
      <c r="AD19" s="51">
        <f t="shared" si="33"/>
        <v>3980.5586741250027</v>
      </c>
      <c r="AE19" s="39">
        <f t="shared" si="5"/>
        <v>-0.45064017719033655</v>
      </c>
      <c r="AF19" s="51">
        <f t="shared" si="6"/>
        <v>-29259.078849000005</v>
      </c>
      <c r="AG19" s="51">
        <f t="shared" si="6"/>
        <v>-40591.827226500005</v>
      </c>
      <c r="AH19" s="51">
        <f t="shared" si="6"/>
        <v>-46990.113993077081</v>
      </c>
      <c r="AI19" s="51">
        <f t="shared" si="7"/>
        <v>11332.7483775</v>
      </c>
      <c r="AJ19" s="57">
        <f t="shared" si="8"/>
        <v>-0.37733543584698132</v>
      </c>
    </row>
    <row r="20" spans="1:36" x14ac:dyDescent="0.25">
      <c r="A20" s="66" t="s">
        <v>102</v>
      </c>
      <c r="B20" s="51">
        <f>_xlfn.IFNA(INDEX('P&amp;L ACTUALS+EST'!$B$3:$Y$18,MATCH('P&amp;L MONTHLY'!$A20,'P&amp;L ACTUALS+EST'!$A$3:$A$18,0),MATCH('P&amp;L MONTHLY'!B$3,'P&amp;L ACTUALS+EST'!$B$2:$Y$2,0)),0)</f>
        <v>-17680.632651000004</v>
      </c>
      <c r="C20" s="51">
        <f>_xlfn.IFNA(INDEX('P&amp;L ACTUALS+EST'!$B$3:$Y$18,MATCH('P&amp;L MONTHLY'!$A20,'P&amp;L ACTUALS+EST'!$A$3:$A$18,0),MATCH('P&amp;L MONTHLY'!C$3,'P&amp;L ACTUALS+EST'!$B$2:$Y$2,0)),0)</f>
        <v>-17658.308619875002</v>
      </c>
      <c r="D20" s="51">
        <f>_xlfn.IFNA(INDEX('P&amp;L ACTUALS+EST'!$B$3:$Y$18,MATCH('P&amp;L MONTHLY'!$A20,'P&amp;L ACTUALS+EST'!$A$3:$A$18,0),MATCH('P&amp;L MONTHLY'!D$3,'P&amp;L ACTUALS+EST'!$B$2:$Y$2,0)),0)</f>
        <v>-17658.308619875002</v>
      </c>
      <c r="E20" s="51">
        <f t="shared" si="9"/>
        <v>-22.324031125001056</v>
      </c>
      <c r="F20" s="39">
        <f t="shared" si="0"/>
        <v>1.264222503160616E-3</v>
      </c>
      <c r="G20" s="51">
        <f>_xlfn.IFNA(INDEX('P&amp;L ACTUALS+EST'!$B$3:$Y$18,MATCH('P&amp;L MONTHLY'!$A20,'P&amp;L ACTUALS+EST'!$A$3:$A$18,0),MATCH('P&amp;L MONTHLY'!G$3,'P&amp;L ACTUALS+EST'!$B$2:$Y$2,0)),0)</f>
        <v>-10325.981853000001</v>
      </c>
      <c r="H20" s="51">
        <f>_xlfn.IFNA(INDEX('P&amp;L ACTUALS+EST'!$B$3:$Y$18,MATCH('P&amp;L MONTHLY'!$A20,'P&amp;L ACTUALS+EST'!$A$3:$A$18,0),MATCH('P&amp;L MONTHLY'!H$3,'P&amp;L ACTUALS+EST'!$B$2:$Y$2,0)),0)</f>
        <v>-12474.306497125004</v>
      </c>
      <c r="I20" s="51">
        <f>_xlfn.IFNA(INDEX('P&amp;L ACTUALS+EST'!$B$3:$Y$18,MATCH('P&amp;L MONTHLY'!$A20,'P&amp;L ACTUALS+EST'!$A$3:$A$18,0),MATCH('P&amp;L MONTHLY'!I$3,'P&amp;L ACTUALS+EST'!$B$2:$Y$2,0)),0)</f>
        <v>-12474.306497125002</v>
      </c>
      <c r="J20" s="51">
        <f t="shared" si="29"/>
        <v>2148.3246441250012</v>
      </c>
      <c r="K20" s="39">
        <f t="shared" si="1"/>
        <v>-0.17221996626587083</v>
      </c>
      <c r="L20" s="51">
        <f>_xlfn.IFNA(INDEX('P&amp;L ACTUALS+EST'!$B$3:$Y$18,MATCH('P&amp;L MONTHLY'!$A20,'P&amp;L ACTUALS+EST'!$A$3:$A$18,0),MATCH('P&amp;L MONTHLY'!L$3,'P&amp;L ACTUALS+EST'!$B$2:$Y$2,0)),0)</f>
        <v>-9534.6131760000026</v>
      </c>
      <c r="M20" s="51">
        <f>_xlfn.IFNA(INDEX('P&amp;L ACTUALS+EST'!$B$3:$Y$18,MATCH('P&amp;L MONTHLY'!$A20,'P&amp;L ACTUALS+EST'!$A$3:$A$18,0),MATCH('P&amp;L MONTHLY'!M$3,'P&amp;L ACTUALS+EST'!$B$2:$Y$2,0)),0)</f>
        <v>-27809.405800000008</v>
      </c>
      <c r="N20" s="51">
        <f>_xlfn.IFNA(INDEX('P&amp;L ACTUALS+EST'!$B$3:$Y$18,MATCH('P&amp;L MONTHLY'!$A20,'P&amp;L ACTUALS+EST'!$A$3:$A$18,0),MATCH('P&amp;L MONTHLY'!N$3,'P&amp;L ACTUALS+EST'!$B$2:$Y$2,0)),0)</f>
        <v>-15709.405800000002</v>
      </c>
      <c r="O20" s="51">
        <f t="shared" si="30"/>
        <v>6174.7926239999997</v>
      </c>
      <c r="P20" s="39">
        <f t="shared" si="2"/>
        <v>-0.39306341071156231</v>
      </c>
      <c r="Q20" s="51">
        <f>_xlfn.IFNA(INDEX('P&amp;L ACTUALS+EST'!$B$3:$Y$18,MATCH('P&amp;L MONTHLY'!$A20,'P&amp;L ACTUALS+EST'!$A$3:$A$18,0),MATCH('P&amp;L MONTHLY'!Q$3,'P&amp;L ACTUALS+EST'!$B$2:$Y$2,0)),0)</f>
        <v>-14689.272708000004</v>
      </c>
      <c r="R20" s="51">
        <f>_xlfn.IFNA(INDEX('P&amp;L ACTUALS+EST'!$B$3:$Y$18,MATCH('P&amp;L MONTHLY'!$A20,'P&amp;L ACTUALS+EST'!$A$3:$A$18,0),MATCH('P&amp;L MONTHLY'!R$3,'P&amp;L ACTUALS+EST'!$B$2:$Y$2,0)),0)</f>
        <v>-24312.893000000004</v>
      </c>
      <c r="S20" s="51">
        <f>_xlfn.IFNA(INDEX('P&amp;L ACTUALS+EST'!$B$3:$Y$18,MATCH('P&amp;L MONTHLY'!$A20,'P&amp;L ACTUALS+EST'!$A$3:$A$18,0),MATCH('P&amp;L MONTHLY'!S$3,'P&amp;L ACTUALS+EST'!$B$2:$Y$2,0)),0)</f>
        <v>-14632.893000000002</v>
      </c>
      <c r="T20" s="51">
        <f t="shared" si="31"/>
        <v>-56.379708000002211</v>
      </c>
      <c r="U20" s="39">
        <f t="shared" si="3"/>
        <v>3.8529433653346746E-3</v>
      </c>
      <c r="V20" s="51">
        <f>_xlfn.IFNA(INDEX('P&amp;L ACTUALS+EST'!$B$3:$Y$18,MATCH('P&amp;L MONTHLY'!$A20,'P&amp;L ACTUALS+EST'!$A$3:$A$18,0),MATCH('P&amp;L MONTHLY'!V$3,'P&amp;L ACTUALS+EST'!$B$2:$Y$2,0)),0)</f>
        <v>-14917.041414000003</v>
      </c>
      <c r="W20" s="51">
        <f>_xlfn.IFNA(INDEX('P&amp;L ACTUALS+EST'!$B$3:$Y$18,MATCH('P&amp;L MONTHLY'!$A20,'P&amp;L ACTUALS+EST'!$A$3:$A$18,0),MATCH('P&amp;L MONTHLY'!W$3,'P&amp;L ACTUALS+EST'!$B$2:$Y$2,0)),0)</f>
        <v>-16361.728900000002</v>
      </c>
      <c r="X20" s="51">
        <f>_xlfn.IFNA(INDEX('P&amp;L ACTUALS+EST'!$B$3:$Y$18,MATCH('P&amp;L MONTHLY'!$A20,'P&amp;L ACTUALS+EST'!$A$3:$A$18,0),MATCH('P&amp;L MONTHLY'!X$3,'P&amp;L ACTUALS+EST'!$B$2:$Y$2,0)),0)</f>
        <v>-16361.728900000002</v>
      </c>
      <c r="Y20" s="51">
        <f t="shared" si="32"/>
        <v>1444.6874859999989</v>
      </c>
      <c r="Z20" s="39">
        <f t="shared" si="4"/>
        <v>-8.8296749984654657E-2</v>
      </c>
      <c r="AA20" s="51">
        <f>_xlfn.IFNA(INDEX('P&amp;L ACTUALS+EST'!$B$3:$Y$18,MATCH('P&amp;L MONTHLY'!$A20,'P&amp;L ACTUALS+EST'!$A$3:$A$18,0),MATCH('P&amp;L MONTHLY'!AA$3,'P&amp;L ACTUALS+EST'!$B$2:$Y$2,0)),0)</f>
        <v>-24189.206679000006</v>
      </c>
      <c r="AB20" s="51">
        <f>_xlfn.IFNA(INDEX('P&amp;L ACTUALS+EST'!$B$3:$Y$18,MATCH('P&amp;L MONTHLY'!$A20,'P&amp;L ACTUALS+EST'!$A$3:$A$18,0),MATCH('P&amp;L MONTHLY'!AB$3,'P&amp;L ACTUALS+EST'!$B$2:$Y$2,0)),0)</f>
        <v>-19434.378700000005</v>
      </c>
      <c r="AC20" s="51">
        <f>_xlfn.IFNA(INDEX('P&amp;L ACTUALS+EST'!$B$3:$Y$18,MATCH('P&amp;L MONTHLY'!$A20,'P&amp;L ACTUALS+EST'!$A$3:$A$18,0),MATCH('P&amp;L MONTHLY'!AC$3,'P&amp;L ACTUALS+EST'!$B$2:$Y$2,0)),0)</f>
        <v>-20406.097635000009</v>
      </c>
      <c r="AD20" s="51">
        <f t="shared" si="33"/>
        <v>-3783.1090439999971</v>
      </c>
      <c r="AE20" s="39">
        <f t="shared" si="5"/>
        <v>0.18539110768103484</v>
      </c>
      <c r="AF20" s="51">
        <f t="shared" si="6"/>
        <v>-91336.748481000031</v>
      </c>
      <c r="AG20" s="51">
        <f t="shared" si="6"/>
        <v>-118051.02151700003</v>
      </c>
      <c r="AH20" s="51">
        <f t="shared" si="6"/>
        <v>-97242.740452000027</v>
      </c>
      <c r="AI20" s="51">
        <f t="shared" si="7"/>
        <v>26714.273035999999</v>
      </c>
      <c r="AJ20" s="57">
        <f t="shared" si="8"/>
        <v>-6.0734528290214647E-2</v>
      </c>
    </row>
    <row r="21" spans="1:36" x14ac:dyDescent="0.25">
      <c r="A21" s="66" t="s">
        <v>122</v>
      </c>
      <c r="B21" s="51">
        <f>_xlfn.IFNA(INDEX('P&amp;L ACTUALS+EST'!$B$3:$Y$18,MATCH('P&amp;L MONTHLY'!$A21,'P&amp;L ACTUALS+EST'!$A$3:$A$18,0),MATCH('P&amp;L MONTHLY'!B$3,'P&amp;L ACTUALS+EST'!$B$2:$Y$2,0)),0)</f>
        <v>-98886.92051700002</v>
      </c>
      <c r="C21" s="51">
        <f>_xlfn.IFNA(INDEX('P&amp;L ACTUALS+EST'!$B$3:$Y$18,MATCH('P&amp;L MONTHLY'!$A21,'P&amp;L ACTUALS+EST'!$A$3:$A$18,0),MATCH('P&amp;L MONTHLY'!C$3,'P&amp;L ACTUALS+EST'!$B$2:$Y$2,0)),0)</f>
        <v>-98762.063294125008</v>
      </c>
      <c r="D21" s="51">
        <f>_xlfn.IFNA(INDEX('P&amp;L ACTUALS+EST'!$B$3:$Y$18,MATCH('P&amp;L MONTHLY'!$A21,'P&amp;L ACTUALS+EST'!$A$3:$A$18,0),MATCH('P&amp;L MONTHLY'!D$3,'P&amp;L ACTUALS+EST'!$B$2:$Y$2,0)),0)</f>
        <v>-103700.16645883126</v>
      </c>
      <c r="E21" s="51">
        <f t="shared" si="9"/>
        <v>4813.2459418312355</v>
      </c>
      <c r="F21" s="39">
        <f t="shared" si="0"/>
        <v>-4.6415026187465992E-2</v>
      </c>
      <c r="G21" s="51">
        <f>_xlfn.IFNA(INDEX('P&amp;L ACTUALS+EST'!$B$3:$Y$18,MATCH('P&amp;L MONTHLY'!$A21,'P&amp;L ACTUALS+EST'!$A$3:$A$18,0),MATCH('P&amp;L MONTHLY'!G$3,'P&amp;L ACTUALS+EST'!$B$2:$Y$2,0)),0)</f>
        <v>-42314.332104000001</v>
      </c>
      <c r="H21" s="51">
        <f>_xlfn.IFNA(INDEX('P&amp;L ACTUALS+EST'!$B$3:$Y$18,MATCH('P&amp;L MONTHLY'!$A21,'P&amp;L ACTUALS+EST'!$A$3:$A$18,0),MATCH('P&amp;L MONTHLY'!H$3,'P&amp;L ACTUALS+EST'!$B$2:$Y$2,0)),0)</f>
        <v>-42260.904917</v>
      </c>
      <c r="I21" s="51">
        <f>_xlfn.IFNA(INDEX('P&amp;L ACTUALS+EST'!$B$3:$Y$18,MATCH('P&amp;L MONTHLY'!$A21,'P&amp;L ACTUALS+EST'!$A$3:$A$18,0),MATCH('P&amp;L MONTHLY'!I$3,'P&amp;L ACTUALS+EST'!$B$2:$Y$2,0)),0)</f>
        <v>-44373.950162850007</v>
      </c>
      <c r="J21" s="51">
        <f t="shared" si="29"/>
        <v>2059.6180588500065</v>
      </c>
      <c r="K21" s="39">
        <f t="shared" si="1"/>
        <v>-4.6415026187466277E-2</v>
      </c>
      <c r="L21" s="51">
        <f>_xlfn.IFNA(INDEX('P&amp;L ACTUALS+EST'!$B$3:$Y$18,MATCH('P&amp;L MONTHLY'!$A21,'P&amp;L ACTUALS+EST'!$A$3:$A$18,0),MATCH('P&amp;L MONTHLY'!L$3,'P&amp;L ACTUALS+EST'!$B$2:$Y$2,0)),0)</f>
        <v>-75793.24130400001</v>
      </c>
      <c r="M21" s="51">
        <f>_xlfn.IFNA(INDEX('P&amp;L ACTUALS+EST'!$B$3:$Y$18,MATCH('P&amp;L MONTHLY'!$A21,'P&amp;L ACTUALS+EST'!$A$3:$A$18,0),MATCH('P&amp;L MONTHLY'!M$3,'P&amp;L ACTUALS+EST'!$B$2:$Y$2,0)),0)</f>
        <v>-64307.628000000012</v>
      </c>
      <c r="N21" s="51">
        <f>_xlfn.IFNA(INDEX('P&amp;L ACTUALS+EST'!$B$3:$Y$18,MATCH('P&amp;L MONTHLY'!$A21,'P&amp;L ACTUALS+EST'!$A$3:$A$18,0),MATCH('P&amp;L MONTHLY'!N$3,'P&amp;L ACTUALS+EST'!$B$2:$Y$2,0)),0)</f>
        <v>-67523.009400000024</v>
      </c>
      <c r="O21" s="51">
        <f t="shared" si="30"/>
        <v>-8270.2319039999857</v>
      </c>
      <c r="P21" s="39">
        <f t="shared" si="2"/>
        <v>0.12248020308170658</v>
      </c>
      <c r="Q21" s="51">
        <f>_xlfn.IFNA(INDEX('P&amp;L ACTUALS+EST'!$B$3:$Y$18,MATCH('P&amp;L MONTHLY'!$A21,'P&amp;L ACTUALS+EST'!$A$3:$A$18,0),MATCH('P&amp;L MONTHLY'!Q$3,'P&amp;L ACTUALS+EST'!$B$2:$Y$2,0)),0)</f>
        <v>-36622.234737000006</v>
      </c>
      <c r="R21" s="51">
        <f>_xlfn.IFNA(INDEX('P&amp;L ACTUALS+EST'!$B$3:$Y$18,MATCH('P&amp;L MONTHLY'!$A21,'P&amp;L ACTUALS+EST'!$A$3:$A$18,0),MATCH('P&amp;L MONTHLY'!R$3,'P&amp;L ACTUALS+EST'!$B$2:$Y$2,0)),0)</f>
        <v>-24900.348000000002</v>
      </c>
      <c r="S21" s="51">
        <f>_xlfn.IFNA(INDEX('P&amp;L ACTUALS+EST'!$B$3:$Y$18,MATCH('P&amp;L MONTHLY'!$A21,'P&amp;L ACTUALS+EST'!$A$3:$A$18,0),MATCH('P&amp;L MONTHLY'!S$3,'P&amp;L ACTUALS+EST'!$B$2:$Y$2,0)),0)</f>
        <v>-26145.365400000006</v>
      </c>
      <c r="T21" s="51">
        <f t="shared" si="31"/>
        <v>-10476.869337</v>
      </c>
      <c r="U21" s="39">
        <f t="shared" si="3"/>
        <v>0.40071611839090981</v>
      </c>
      <c r="V21" s="51">
        <f>_xlfn.IFNA(INDEX('P&amp;L ACTUALS+EST'!$B$3:$Y$18,MATCH('P&amp;L MONTHLY'!$A21,'P&amp;L ACTUALS+EST'!$A$3:$A$18,0),MATCH('P&amp;L MONTHLY'!V$3,'P&amp;L ACTUALS+EST'!$B$2:$Y$2,0)),0)</f>
        <v>-34524.975375000009</v>
      </c>
      <c r="W21" s="51">
        <f>_xlfn.IFNA(INDEX('P&amp;L ACTUALS+EST'!$B$3:$Y$18,MATCH('P&amp;L MONTHLY'!$A21,'P&amp;L ACTUALS+EST'!$A$3:$A$18,0),MATCH('P&amp;L MONTHLY'!W$3,'P&amp;L ACTUALS+EST'!$B$2:$Y$2,0)),0)</f>
        <v>-26122.569000000007</v>
      </c>
      <c r="X21" s="51">
        <f>_xlfn.IFNA(INDEX('P&amp;L ACTUALS+EST'!$B$3:$Y$18,MATCH('P&amp;L MONTHLY'!$A21,'P&amp;L ACTUALS+EST'!$A$3:$A$18,0),MATCH('P&amp;L MONTHLY'!X$3,'P&amp;L ACTUALS+EST'!$B$2:$Y$2,0)),0)</f>
        <v>-27428.697450000003</v>
      </c>
      <c r="Y21" s="51">
        <f t="shared" si="32"/>
        <v>-7096.2779250000058</v>
      </c>
      <c r="Z21" s="39">
        <f t="shared" si="4"/>
        <v>0.25871727733100958</v>
      </c>
      <c r="AA21" s="51">
        <f>_xlfn.IFNA(INDEX('P&amp;L ACTUALS+EST'!$B$3:$Y$18,MATCH('P&amp;L MONTHLY'!$A21,'P&amp;L ACTUALS+EST'!$A$3:$A$18,0),MATCH('P&amp;L MONTHLY'!AA$3,'P&amp;L ACTUALS+EST'!$B$2:$Y$2,0)),0)</f>
        <v>-35273.147778000006</v>
      </c>
      <c r="AB21" s="51">
        <f>_xlfn.IFNA(INDEX('P&amp;L ACTUALS+EST'!$B$3:$Y$18,MATCH('P&amp;L MONTHLY'!$A21,'P&amp;L ACTUALS+EST'!$A$3:$A$18,0),MATCH('P&amp;L MONTHLY'!AB$3,'P&amp;L ACTUALS+EST'!$B$2:$Y$2,0)),0)</f>
        <v>-60341.550500000012</v>
      </c>
      <c r="AC21" s="51">
        <f>_xlfn.IFNA(INDEX('P&amp;L ACTUALS+EST'!$B$3:$Y$18,MATCH('P&amp;L MONTHLY'!$A21,'P&amp;L ACTUALS+EST'!$A$3:$A$18,0),MATCH('P&amp;L MONTHLY'!AC$3,'P&amp;L ACTUALS+EST'!$B$2:$Y$2,0)),0)</f>
        <v>-63358.628025000013</v>
      </c>
      <c r="AD21" s="51">
        <f t="shared" si="33"/>
        <v>28085.480247000007</v>
      </c>
      <c r="AE21" s="39">
        <f t="shared" si="5"/>
        <v>-0.44327791056204774</v>
      </c>
      <c r="AF21" s="51">
        <f t="shared" si="6"/>
        <v>-323414.85181500006</v>
      </c>
      <c r="AG21" s="51">
        <f t="shared" si="6"/>
        <v>-316695.06371112505</v>
      </c>
      <c r="AH21" s="51">
        <f t="shared" si="6"/>
        <v>-332529.81689668132</v>
      </c>
      <c r="AI21" s="51">
        <f t="shared" si="7"/>
        <v>-6719.7881038750056</v>
      </c>
      <c r="AJ21" s="57">
        <f t="shared" si="8"/>
        <v>-2.7410970741650303E-2</v>
      </c>
    </row>
    <row r="22" spans="1:36" x14ac:dyDescent="0.25">
      <c r="A22" s="64" t="s">
        <v>23</v>
      </c>
      <c r="B22" s="49">
        <f>_xlfn.IFNA(INDEX('P&amp;L ACTUALS+EST'!$B$3:$Y$18,MATCH('P&amp;L MONTHLY'!$A22,'P&amp;L ACTUALS+EST'!$A$3:$A$18,0),MATCH('P&amp;L MONTHLY'!B$3,'P&amp;L ACTUALS+EST'!$B$2:$Y$2,0)),0)</f>
        <v>-2373063.4661338371</v>
      </c>
      <c r="C22" s="49">
        <f>_xlfn.IFNA(INDEX('P&amp;L ACTUALS+EST'!$B$3:$Y$18,MATCH('P&amp;L MONTHLY'!$A22,'P&amp;L ACTUALS+EST'!$A$3:$A$18,0),MATCH('P&amp;L MONTHLY'!C$3,'P&amp;L ACTUALS+EST'!$B$2:$Y$2,0)),0)</f>
        <v>-2337754.1270706821</v>
      </c>
      <c r="D22" s="49">
        <f>_xlfn.IFNA(INDEX('P&amp;L ACTUALS+EST'!$B$3:$Y$18,MATCH('P&amp;L MONTHLY'!$A22,'P&amp;L ACTUALS+EST'!$A$3:$A$18,0),MATCH('P&amp;L MONTHLY'!D$3,'P&amp;L ACTUALS+EST'!$B$2:$Y$2,0)),0)</f>
        <v>-2369183.9736569803</v>
      </c>
      <c r="E22" s="49">
        <f t="shared" si="9"/>
        <v>-3879.4924768568017</v>
      </c>
      <c r="F22" s="50">
        <f t="shared" si="0"/>
        <v>1.6374804658451946E-3</v>
      </c>
      <c r="G22" s="49">
        <f>_xlfn.IFNA(INDEX('P&amp;L ACTUALS+EST'!$B$3:$Y$18,MATCH('P&amp;L MONTHLY'!$A22,'P&amp;L ACTUALS+EST'!$A$3:$A$18,0),MATCH('P&amp;L MONTHLY'!G$3,'P&amp;L ACTUALS+EST'!$B$2:$Y$2,0)),0)</f>
        <v>-2356777.3111779531</v>
      </c>
      <c r="H22" s="49">
        <f>_xlfn.IFNA(INDEX('P&amp;L ACTUALS+EST'!$B$3:$Y$18,MATCH('P&amp;L MONTHLY'!$A22,'P&amp;L ACTUALS+EST'!$A$3:$A$18,0),MATCH('P&amp;L MONTHLY'!H$3,'P&amp;L ACTUALS+EST'!$B$2:$Y$2,0)),0)</f>
        <v>-2336110.766942359</v>
      </c>
      <c r="I22" s="49">
        <f>_xlfn.IFNA(INDEX('P&amp;L ACTUALS+EST'!$B$3:$Y$18,MATCH('P&amp;L MONTHLY'!$A22,'P&amp;L ACTUALS+EST'!$A$3:$A$18,0),MATCH('P&amp;L MONTHLY'!I$3,'P&amp;L ACTUALS+EST'!$B$2:$Y$2,0)),0)</f>
        <v>-2360597.4112134115</v>
      </c>
      <c r="J22" s="49">
        <f t="shared" si="29"/>
        <v>3820.1000354583375</v>
      </c>
      <c r="K22" s="50">
        <f t="shared" si="1"/>
        <v>-1.6182768045546157E-3</v>
      </c>
      <c r="L22" s="49">
        <f>_xlfn.IFNA(INDEX('P&amp;L ACTUALS+EST'!$B$3:$Y$18,MATCH('P&amp;L MONTHLY'!$A22,'P&amp;L ACTUALS+EST'!$A$3:$A$18,0),MATCH('P&amp;L MONTHLY'!L$3,'P&amp;L ACTUALS+EST'!$B$2:$Y$2,0)),0)</f>
        <v>-2462522.4392632325</v>
      </c>
      <c r="M22" s="49">
        <f>_xlfn.IFNA(INDEX('P&amp;L ACTUALS+EST'!$B$3:$Y$18,MATCH('P&amp;L MONTHLY'!$A22,'P&amp;L ACTUALS+EST'!$A$3:$A$18,0),MATCH('P&amp;L MONTHLY'!M$3,'P&amp;L ACTUALS+EST'!$B$2:$Y$2,0)),0)</f>
        <v>-2470148.5347489058</v>
      </c>
      <c r="N22" s="49">
        <f>_xlfn.IFNA(INDEX('P&amp;L ACTUALS+EST'!$B$3:$Y$18,MATCH('P&amp;L MONTHLY'!$A22,'P&amp;L ACTUALS+EST'!$A$3:$A$18,0),MATCH('P&amp;L MONTHLY'!N$3,'P&amp;L ACTUALS+EST'!$B$2:$Y$2,0)),0)</f>
        <v>-2484052.8661024785</v>
      </c>
      <c r="O22" s="49">
        <f t="shared" si="30"/>
        <v>21530.426839245949</v>
      </c>
      <c r="P22" s="50">
        <f t="shared" si="2"/>
        <v>-8.6674591885910861E-3</v>
      </c>
      <c r="Q22" s="49">
        <f>_xlfn.IFNA(INDEX('P&amp;L ACTUALS+EST'!$B$3:$Y$18,MATCH('P&amp;L MONTHLY'!$A22,'P&amp;L ACTUALS+EST'!$A$3:$A$18,0),MATCH('P&amp;L MONTHLY'!Q$3,'P&amp;L ACTUALS+EST'!$B$2:$Y$2,0)),0)</f>
        <v>-2392503.9977099472</v>
      </c>
      <c r="R22" s="49">
        <f>_xlfn.IFNA(INDEX('P&amp;L ACTUALS+EST'!$B$3:$Y$18,MATCH('P&amp;L MONTHLY'!$A22,'P&amp;L ACTUALS+EST'!$A$3:$A$18,0),MATCH('P&amp;L MONTHLY'!R$3,'P&amp;L ACTUALS+EST'!$B$2:$Y$2,0)),0)</f>
        <v>-2441566.2435437609</v>
      </c>
      <c r="S22" s="49">
        <f>_xlfn.IFNA(INDEX('P&amp;L ACTUALS+EST'!$B$3:$Y$18,MATCH('P&amp;L MONTHLY'!$A22,'P&amp;L ACTUALS+EST'!$A$3:$A$18,0),MATCH('P&amp;L MONTHLY'!S$3,'P&amp;L ACTUALS+EST'!$B$2:$Y$2,0)),0)</f>
        <v>-2482457.1355649219</v>
      </c>
      <c r="T22" s="49">
        <f t="shared" si="31"/>
        <v>89953.137854974717</v>
      </c>
      <c r="U22" s="50">
        <f t="shared" si="3"/>
        <v>-3.6235525103842113E-2</v>
      </c>
      <c r="V22" s="49">
        <f>_xlfn.IFNA(INDEX('P&amp;L ACTUALS+EST'!$B$3:$Y$18,MATCH('P&amp;L MONTHLY'!$A22,'P&amp;L ACTUALS+EST'!$A$3:$A$18,0),MATCH('P&amp;L MONTHLY'!V$3,'P&amp;L ACTUALS+EST'!$B$2:$Y$2,0)),0)</f>
        <v>-2294704.3929673857</v>
      </c>
      <c r="W22" s="49">
        <f>_xlfn.IFNA(INDEX('P&amp;L ACTUALS+EST'!$B$3:$Y$18,MATCH('P&amp;L MONTHLY'!$A22,'P&amp;L ACTUALS+EST'!$A$3:$A$18,0),MATCH('P&amp;L MONTHLY'!W$3,'P&amp;L ACTUALS+EST'!$B$2:$Y$2,0)),0)</f>
        <v>-2359059.8762731645</v>
      </c>
      <c r="X22" s="49">
        <f>_xlfn.IFNA(INDEX('P&amp;L ACTUALS+EST'!$B$3:$Y$18,MATCH('P&amp;L MONTHLY'!$A22,'P&amp;L ACTUALS+EST'!$A$3:$A$18,0),MATCH('P&amp;L MONTHLY'!X$3,'P&amp;L ACTUALS+EST'!$B$2:$Y$2,0)),0)</f>
        <v>-2409260.5816019052</v>
      </c>
      <c r="Y22" s="49">
        <f t="shared" si="32"/>
        <v>114556.18863451947</v>
      </c>
      <c r="Z22" s="50">
        <f t="shared" si="4"/>
        <v>-4.7548276641106058E-2</v>
      </c>
      <c r="AA22" s="49">
        <f>_xlfn.IFNA(INDEX('P&amp;L ACTUALS+EST'!$B$3:$Y$18,MATCH('P&amp;L MONTHLY'!$A22,'P&amp;L ACTUALS+EST'!$A$3:$A$18,0),MATCH('P&amp;L MONTHLY'!AA$3,'P&amp;L ACTUALS+EST'!$B$2:$Y$2,0)),0)</f>
        <v>-2309268.9348691781</v>
      </c>
      <c r="AB22" s="49">
        <f>_xlfn.IFNA(INDEX('P&amp;L ACTUALS+EST'!$B$3:$Y$18,MATCH('P&amp;L MONTHLY'!$A22,'P&amp;L ACTUALS+EST'!$A$3:$A$18,0),MATCH('P&amp;L MONTHLY'!AB$3,'P&amp;L ACTUALS+EST'!$B$2:$Y$2,0)),0)</f>
        <v>-2367964.617451807</v>
      </c>
      <c r="AC22" s="49">
        <f>_xlfn.IFNA(INDEX('P&amp;L ACTUALS+EST'!$B$3:$Y$18,MATCH('P&amp;L MONTHLY'!$A22,'P&amp;L ACTUALS+EST'!$A$3:$A$18,0),MATCH('P&amp;L MONTHLY'!AC$3,'P&amp;L ACTUALS+EST'!$B$2:$Y$2,0)),0)</f>
        <v>-2410225.4994360604</v>
      </c>
      <c r="AD22" s="49">
        <f t="shared" si="33"/>
        <v>100956.56456688233</v>
      </c>
      <c r="AE22" s="50">
        <f t="shared" si="5"/>
        <v>-4.1886771420559583E-2</v>
      </c>
      <c r="AF22" s="49">
        <f t="shared" si="6"/>
        <v>-14188840.542121533</v>
      </c>
      <c r="AG22" s="49">
        <f t="shared" si="6"/>
        <v>-14312604.166030681</v>
      </c>
      <c r="AH22" s="49">
        <f t="shared" si="6"/>
        <v>-14515777.467575757</v>
      </c>
      <c r="AI22" s="49">
        <f t="shared" si="7"/>
        <v>123763.62390914746</v>
      </c>
      <c r="AJ22" s="55">
        <f t="shared" si="8"/>
        <v>-2.2522867010362376E-2</v>
      </c>
    </row>
    <row r="23" spans="1:36" ht="15.75" thickBot="1" x14ac:dyDescent="0.3">
      <c r="A23" s="69" t="s">
        <v>24</v>
      </c>
      <c r="B23" s="60">
        <f>_xlfn.IFNA(INDEX('P&amp;L ACTUALS+EST'!$B$3:$Y$18,MATCH('P&amp;L MONTHLY'!$A23,'P&amp;L ACTUALS+EST'!$A$3:$A$18,0),MATCH('P&amp;L MONTHLY'!B$3,'P&amp;L ACTUALS+EST'!$B$2:$Y$2,0)),0)</f>
        <v>-451763.02555170981</v>
      </c>
      <c r="C23" s="60">
        <f>_xlfn.IFNA(INDEX('P&amp;L ACTUALS+EST'!$B$3:$Y$18,MATCH('P&amp;L MONTHLY'!$A23,'P&amp;L ACTUALS+EST'!$A$3:$A$18,0),MATCH('P&amp;L MONTHLY'!C$3,'P&amp;L ACTUALS+EST'!$B$2:$Y$2,0)),0)</f>
        <v>13028.879961256869</v>
      </c>
      <c r="D23" s="60">
        <f>_xlfn.IFNA(INDEX('P&amp;L ACTUALS+EST'!$B$3:$Y$18,MATCH('P&amp;L MONTHLY'!$A23,'P&amp;L ACTUALS+EST'!$A$3:$A$18,0),MATCH('P&amp;L MONTHLY'!D$3,'P&amp;L ACTUALS+EST'!$B$2:$Y$2,0)),0)</f>
        <v>157711.01661201939</v>
      </c>
      <c r="E23" s="60">
        <f t="shared" si="9"/>
        <v>-609474.0421637292</v>
      </c>
      <c r="F23" s="61">
        <f>E23/D23</f>
        <v>-3.8644988489490233</v>
      </c>
      <c r="G23" s="60">
        <f>_xlfn.IFNA(INDEX('P&amp;L ACTUALS+EST'!$B$3:$Y$18,MATCH('P&amp;L MONTHLY'!$A23,'P&amp;L ACTUALS+EST'!$A$3:$A$18,0),MATCH('P&amp;L MONTHLY'!G$3,'P&amp;L ACTUALS+EST'!$B$2:$Y$2,0)),0)</f>
        <v>265949.31307317037</v>
      </c>
      <c r="H23" s="60">
        <f>_xlfn.IFNA(INDEX('P&amp;L ACTUALS+EST'!$B$3:$Y$18,MATCH('P&amp;L MONTHLY'!$A23,'P&amp;L ACTUALS+EST'!$A$3:$A$18,0),MATCH('P&amp;L MONTHLY'!H$3,'P&amp;L ACTUALS+EST'!$B$2:$Y$2,0)),0)</f>
        <v>873043.62891762005</v>
      </c>
      <c r="I23" s="60">
        <f>_xlfn.IFNA(INDEX('P&amp;L ACTUALS+EST'!$B$3:$Y$18,MATCH('P&amp;L MONTHLY'!$A23,'P&amp;L ACTUALS+EST'!$A$3:$A$18,0),MATCH('P&amp;L MONTHLY'!I$3,'P&amp;L ACTUALS+EST'!$B$2:$Y$2,0)),0)</f>
        <v>1070145.5691772304</v>
      </c>
      <c r="J23" s="60">
        <f t="shared" si="29"/>
        <v>-804196.25610405998</v>
      </c>
      <c r="K23" s="61">
        <f t="shared" si="1"/>
        <v>-0.75148304984559944</v>
      </c>
      <c r="L23" s="60">
        <f>_xlfn.IFNA(INDEX('P&amp;L ACTUALS+EST'!$B$3:$Y$18,MATCH('P&amp;L MONTHLY'!$A23,'P&amp;L ACTUALS+EST'!$A$3:$A$18,0),MATCH('P&amp;L MONTHLY'!L$3,'P&amp;L ACTUALS+EST'!$B$2:$Y$2,0)),0)</f>
        <v>1094397.7434874098</v>
      </c>
      <c r="M23" s="60">
        <f>_xlfn.IFNA(INDEX('P&amp;L ACTUALS+EST'!$B$3:$Y$18,MATCH('P&amp;L MONTHLY'!$A23,'P&amp;L ACTUALS+EST'!$A$3:$A$18,0),MATCH('P&amp;L MONTHLY'!M$3,'P&amp;L ACTUALS+EST'!$B$2:$Y$2,0)),0)</f>
        <v>2110234.731094724</v>
      </c>
      <c r="N23" s="60">
        <f>_xlfn.IFNA(INDEX('P&amp;L ACTUALS+EST'!$B$3:$Y$18,MATCH('P&amp;L MONTHLY'!$A23,'P&amp;L ACTUALS+EST'!$A$3:$A$18,0),MATCH('P&amp;L MONTHLY'!N$3,'P&amp;L ACTUALS+EST'!$B$2:$Y$2,0)),0)</f>
        <v>2310084.1653657174</v>
      </c>
      <c r="O23" s="60">
        <f t="shared" si="30"/>
        <v>-1215686.4218783076</v>
      </c>
      <c r="P23" s="61">
        <f t="shared" si="2"/>
        <v>-0.52625200419303686</v>
      </c>
      <c r="Q23" s="60">
        <f>_xlfn.IFNA(INDEX('P&amp;L ACTUALS+EST'!$B$3:$Y$18,MATCH('P&amp;L MONTHLY'!$A23,'P&amp;L ACTUALS+EST'!$A$3:$A$18,0),MATCH('P&amp;L MONTHLY'!Q$3,'P&amp;L ACTUALS+EST'!$B$2:$Y$2,0)),0)</f>
        <v>393835.88418833772</v>
      </c>
      <c r="R23" s="60">
        <f>_xlfn.IFNA(INDEX('P&amp;L ACTUALS+EST'!$B$3:$Y$18,MATCH('P&amp;L MONTHLY'!$A23,'P&amp;L ACTUALS+EST'!$A$3:$A$18,0),MATCH('P&amp;L MONTHLY'!R$3,'P&amp;L ACTUALS+EST'!$B$2:$Y$2,0)),0)</f>
        <v>2009575.9696349567</v>
      </c>
      <c r="S23" s="60">
        <f>_xlfn.IFNA(INDEX('P&amp;L ACTUALS+EST'!$B$3:$Y$18,MATCH('P&amp;L MONTHLY'!$A23,'P&amp;L ACTUALS+EST'!$A$3:$A$18,0),MATCH('P&amp;L MONTHLY'!S$3,'P&amp;L ACTUALS+EST'!$B$2:$Y$2,0)),0)</f>
        <v>2099136.5623099073</v>
      </c>
      <c r="T23" s="60">
        <f t="shared" si="31"/>
        <v>-1705300.6781215696</v>
      </c>
      <c r="U23" s="61">
        <f t="shared" si="3"/>
        <v>-0.81238196158378684</v>
      </c>
      <c r="V23" s="60">
        <f>_xlfn.IFNA(INDEX('P&amp;L ACTUALS+EST'!$B$3:$Y$18,MATCH('P&amp;L MONTHLY'!$A23,'P&amp;L ACTUALS+EST'!$A$3:$A$18,0),MATCH('P&amp;L MONTHLY'!V$3,'P&amp;L ACTUALS+EST'!$B$2:$Y$2,0)),0)</f>
        <v>720552.52096246416</v>
      </c>
      <c r="W23" s="60">
        <f>_xlfn.IFNA(INDEX('P&amp;L ACTUALS+EST'!$B$3:$Y$18,MATCH('P&amp;L MONTHLY'!$A23,'P&amp;L ACTUALS+EST'!$A$3:$A$18,0),MATCH('P&amp;L MONTHLY'!W$3,'P&amp;L ACTUALS+EST'!$B$2:$Y$2,0)),0)</f>
        <v>1600280.8199710157</v>
      </c>
      <c r="X23" s="60">
        <f>_xlfn.IFNA(INDEX('P&amp;L ACTUALS+EST'!$B$3:$Y$18,MATCH('P&amp;L MONTHLY'!$A23,'P&amp;L ACTUALS+EST'!$A$3:$A$18,0),MATCH('P&amp;L MONTHLY'!X$3,'P&amp;L ACTUALS+EST'!$B$2:$Y$2,0)),0)</f>
        <v>1756669.288971649</v>
      </c>
      <c r="Y23" s="60">
        <f t="shared" si="32"/>
        <v>-1036116.7680091849</v>
      </c>
      <c r="Z23" s="61">
        <f t="shared" si="4"/>
        <v>-0.58981891156970456</v>
      </c>
      <c r="AA23" s="60">
        <f>_xlfn.IFNA(INDEX('P&amp;L ACTUALS+EST'!$B$3:$Y$18,MATCH('P&amp;L MONTHLY'!$A23,'P&amp;L ACTUALS+EST'!$A$3:$A$18,0),MATCH('P&amp;L MONTHLY'!AA$3,'P&amp;L ACTUALS+EST'!$B$2:$Y$2,0)),0)</f>
        <v>330700.68494541338</v>
      </c>
      <c r="AB23" s="60">
        <f>_xlfn.IFNA(INDEX('P&amp;L ACTUALS+EST'!$B$3:$Y$18,MATCH('P&amp;L MONTHLY'!$A23,'P&amp;L ACTUALS+EST'!$A$3:$A$18,0),MATCH('P&amp;L MONTHLY'!AB$3,'P&amp;L ACTUALS+EST'!$B$2:$Y$2,0)),0)</f>
        <v>839256.7148644221</v>
      </c>
      <c r="AC23" s="60">
        <f>_xlfn.IFNA(INDEX('P&amp;L ACTUALS+EST'!$B$3:$Y$18,MATCH('P&amp;L MONTHLY'!$A23,'P&amp;L ACTUALS+EST'!$A$3:$A$18,0),MATCH('P&amp;L MONTHLY'!AC$3,'P&amp;L ACTUALS+EST'!$B$2:$Y$2,0)),0)</f>
        <v>1027297.7655348661</v>
      </c>
      <c r="AD23" s="60">
        <f t="shared" si="33"/>
        <v>-696597.08058945276</v>
      </c>
      <c r="AE23" s="61">
        <f t="shared" si="5"/>
        <v>-0.67808682541693943</v>
      </c>
      <c r="AF23" s="60">
        <f t="shared" si="6"/>
        <v>2353673.1211050856</v>
      </c>
      <c r="AG23" s="60">
        <f t="shared" si="6"/>
        <v>7445420.7444439959</v>
      </c>
      <c r="AH23" s="60">
        <f t="shared" si="6"/>
        <v>8421044.3679713905</v>
      </c>
      <c r="AI23" s="60">
        <f t="shared" si="7"/>
        <v>-5091747.6233389098</v>
      </c>
      <c r="AJ23" s="62">
        <f t="shared" si="8"/>
        <v>-0.72050104259549452</v>
      </c>
    </row>
    <row r="24" spans="1:36" s="8" customFormat="1" x14ac:dyDescent="0.25">
      <c r="A24" s="38" t="s">
        <v>168</v>
      </c>
      <c r="B24" s="39">
        <f>B23/B6</f>
        <v>-2.4726800706512581E-2</v>
      </c>
      <c r="C24" s="39">
        <f t="shared" ref="C24:D24" si="47">C23/C6</f>
        <v>7.2775153100801317E-4</v>
      </c>
      <c r="D24" s="39">
        <f t="shared" si="47"/>
        <v>8.3320948423051284E-3</v>
      </c>
      <c r="E24" s="39">
        <f>B24-D24</f>
        <v>-3.3058895548817711E-2</v>
      </c>
      <c r="F24" s="40">
        <f>E24/D24</f>
        <v>-3.967657134789857</v>
      </c>
      <c r="G24" s="39">
        <f t="shared" ref="G24" si="48">G23/G6</f>
        <v>1.1038976823595651E-2</v>
      </c>
      <c r="H24" s="39">
        <f t="shared" ref="H24" si="49">H23/H6</f>
        <v>3.6995538335463492E-2</v>
      </c>
      <c r="I24" s="39">
        <f t="shared" ref="I24" si="50">I23/I6</f>
        <v>4.2942996278739487E-2</v>
      </c>
      <c r="J24" s="39">
        <f t="shared" si="29"/>
        <v>-3.1904019455143838E-2</v>
      </c>
      <c r="K24" s="40">
        <f t="shared" si="1"/>
        <v>-0.74293883100418634</v>
      </c>
      <c r="L24" s="39">
        <f t="shared" ref="L24" si="51">L23/L6</f>
        <v>3.7659381539286788E-2</v>
      </c>
      <c r="M24" s="39">
        <f t="shared" ref="M24" si="52">M23/M6</f>
        <v>6.5786088560498848E-2</v>
      </c>
      <c r="N24" s="39">
        <f t="shared" ref="N24" si="53">N23/N6</f>
        <v>6.826194245791764E-2</v>
      </c>
      <c r="O24" s="39">
        <f t="shared" si="30"/>
        <v>-3.0602560918630853E-2</v>
      </c>
      <c r="P24" s="40">
        <f t="shared" si="2"/>
        <v>-0.44831072507930503</v>
      </c>
      <c r="Q24" s="39">
        <f t="shared" ref="Q24" si="54">Q23/Q6</f>
        <v>1.7910025438842958E-2</v>
      </c>
      <c r="R24" s="39">
        <f t="shared" ref="R24" si="55">R23/R6</f>
        <v>6.6968446692734662E-2</v>
      </c>
      <c r="S24" s="39">
        <f t="shared" ref="S24" si="56">S23/S6</f>
        <v>6.6369092478735486E-2</v>
      </c>
      <c r="T24" s="39">
        <f t="shared" si="31"/>
        <v>-4.8459067039892528E-2</v>
      </c>
      <c r="U24" s="40">
        <f t="shared" si="3"/>
        <v>-0.73014509058442689</v>
      </c>
      <c r="V24" s="39">
        <f t="shared" ref="V24" si="57">V23/V6</f>
        <v>3.0787506025145298E-2</v>
      </c>
      <c r="W24" s="39">
        <f t="shared" ref="W24" si="58">W23/W6</f>
        <v>5.9285088218539853E-2</v>
      </c>
      <c r="X24" s="39">
        <f t="shared" ref="X24" si="59">X23/X6</f>
        <v>6.1861940560583549E-2</v>
      </c>
      <c r="Y24" s="39">
        <f t="shared" si="32"/>
        <v>-3.1074434535438251E-2</v>
      </c>
      <c r="Z24" s="40">
        <f t="shared" si="4"/>
        <v>-0.50231910369843602</v>
      </c>
      <c r="AA24" s="39">
        <f t="shared" ref="AA24" si="60">AA23/AA6</f>
        <v>1.5643414786581201E-2</v>
      </c>
      <c r="AB24" s="39">
        <f t="shared" ref="AB24" si="61">AB23/AB6</f>
        <v>3.8522699842394009E-2</v>
      </c>
      <c r="AC24" s="39">
        <f t="shared" ref="AC24" si="62">AC23/AC6</f>
        <v>4.4951350848025054E-2</v>
      </c>
      <c r="AD24" s="39">
        <f t="shared" si="33"/>
        <v>-2.9307936061443853E-2</v>
      </c>
      <c r="AE24" s="40">
        <f t="shared" si="5"/>
        <v>-0.65199233189966532</v>
      </c>
      <c r="AF24" s="39">
        <f t="shared" ref="AF24" si="63">AF23/AF6</f>
        <v>1.7061026770278799E-2</v>
      </c>
      <c r="AG24" s="39">
        <f t="shared" ref="AG24" si="64">AG23/AG6</f>
        <v>4.8865506904061079E-2</v>
      </c>
      <c r="AH24" s="39">
        <f t="shared" ref="AH24" si="65">AH23/AH6</f>
        <v>5.244530666703287E-2</v>
      </c>
      <c r="AI24" s="39">
        <f t="shared" ref="AI24" si="66">AF24-AH24</f>
        <v>-3.5384279896754071E-2</v>
      </c>
      <c r="AJ24" s="40">
        <f t="shared" ref="AJ24" si="67">AI24/AH24</f>
        <v>-0.6746891599166992</v>
      </c>
    </row>
  </sheetData>
  <mergeCells count="9">
    <mergeCell ref="A1:H1"/>
    <mergeCell ref="A4:A5"/>
    <mergeCell ref="AF4:AJ4"/>
    <mergeCell ref="B4:F4"/>
    <mergeCell ref="Q4:U4"/>
    <mergeCell ref="V4:Z4"/>
    <mergeCell ref="AA4:AE4"/>
    <mergeCell ref="G4:K4"/>
    <mergeCell ref="L4:P4"/>
  </mergeCells>
  <phoneticPr fontId="7" type="noConversion"/>
  <conditionalFormatting sqref="E6:F6 E8:F8 E14:F15 E23:F24">
    <cfRule type="cellIs" dxfId="7" priority="8" operator="lessThan">
      <formula>0</formula>
    </cfRule>
    <cfRule type="cellIs" dxfId="6" priority="9" operator="greaterThan">
      <formula>0</formula>
    </cfRule>
  </conditionalFormatting>
  <conditionalFormatting sqref="E7:F7 E9:F13 E16:F22">
    <cfRule type="cellIs" dxfId="5" priority="5" operator="lessThan">
      <formula>0</formula>
    </cfRule>
    <cfRule type="cellIs" dxfId="4" priority="7" operator="greaterThan">
      <formula>0</formula>
    </cfRule>
  </conditionalFormatting>
  <conditionalFormatting sqref="J6:K6 O6:P6 T6:U6 Y6:Z6 AD6:AE6 AI6:AJ6 J8:K8 O8:P8 T8:U8 Y8:Z8 AD8:AE8 AI8:AJ8 J14:K15 O14:P15 T14:U15 Y14:Z15 AD14:AE15 AI14:AJ15 J23:K24 O23:P24 T23:U24 Y23:Z24 AD23:AE24 AI23:AJ2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7:K7 O7:P7 T7:U7 Y7:Z7 AD7:AE7 AI7:AJ7 J9:K13 O9:P13 T9:U13 Y9:Z13 AD9:AE13 AI9:AJ13 J16:K22 O16:P22 T16:U22 Y16:Z22 AD16:AE22 AI16:AJ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44A8-5B9F-48CE-8C2B-6D06FDCEC54B}">
  <sheetPr>
    <tabColor rgb="FF92D050"/>
  </sheetPr>
  <dimension ref="A1:P25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3" sqref="I23"/>
    </sheetView>
  </sheetViews>
  <sheetFormatPr defaultRowHeight="15" x14ac:dyDescent="0.25"/>
  <cols>
    <col min="1" max="1" width="26.28515625" style="71" bestFit="1" customWidth="1"/>
    <col min="2" max="7" width="12" style="71" bestFit="1" customWidth="1"/>
    <col min="8" max="8" width="12.7109375" style="71" bestFit="1" customWidth="1"/>
    <col min="9" max="14" width="12.85546875" style="71" bestFit="1" customWidth="1"/>
    <col min="15" max="15" width="12.7109375" style="71" bestFit="1" customWidth="1"/>
    <col min="16" max="16" width="12.7109375" style="77" bestFit="1" customWidth="1"/>
    <col min="17" max="16384" width="9.140625" style="71"/>
  </cols>
  <sheetData>
    <row r="1" spans="1:16" ht="15.75" x14ac:dyDescent="0.25">
      <c r="A1" s="123" t="s">
        <v>188</v>
      </c>
      <c r="B1" s="123"/>
      <c r="C1" s="123"/>
      <c r="D1" s="123"/>
      <c r="E1" s="123"/>
      <c r="F1" s="123"/>
      <c r="G1" s="123"/>
      <c r="H1" s="123"/>
      <c r="P1" s="71"/>
    </row>
    <row r="2" spans="1:16" s="72" customFormat="1" ht="15" customHeight="1" x14ac:dyDescent="0.25">
      <c r="A2" s="73"/>
      <c r="B2" s="72" t="s">
        <v>141</v>
      </c>
      <c r="C2" s="72" t="s">
        <v>144</v>
      </c>
      <c r="D2" s="72" t="s">
        <v>147</v>
      </c>
      <c r="E2" s="72" t="s">
        <v>150</v>
      </c>
      <c r="F2" s="72" t="s">
        <v>153</v>
      </c>
      <c r="G2" s="72" t="s">
        <v>156</v>
      </c>
      <c r="I2" s="72" t="s">
        <v>143</v>
      </c>
      <c r="J2" s="72" t="s">
        <v>146</v>
      </c>
      <c r="K2" s="72" t="s">
        <v>149</v>
      </c>
      <c r="L2" s="72" t="s">
        <v>152</v>
      </c>
      <c r="M2" s="72" t="s">
        <v>155</v>
      </c>
      <c r="N2" s="72" t="s">
        <v>158</v>
      </c>
    </row>
    <row r="3" spans="1:16" ht="15.75" x14ac:dyDescent="0.25">
      <c r="A3" s="76" t="s">
        <v>171</v>
      </c>
      <c r="B3" s="75" t="s">
        <v>141</v>
      </c>
      <c r="C3" s="75" t="s">
        <v>144</v>
      </c>
      <c r="D3" s="75" t="s">
        <v>147</v>
      </c>
      <c r="E3" s="75" t="s">
        <v>150</v>
      </c>
      <c r="F3" s="75" t="s">
        <v>153</v>
      </c>
      <c r="G3" s="75" t="s">
        <v>156</v>
      </c>
      <c r="H3" s="75" t="s">
        <v>172</v>
      </c>
      <c r="I3" s="75" t="s">
        <v>177</v>
      </c>
      <c r="J3" s="75" t="s">
        <v>178</v>
      </c>
      <c r="K3" s="75" t="s">
        <v>179</v>
      </c>
      <c r="L3" s="75" t="s">
        <v>180</v>
      </c>
      <c r="M3" s="75" t="s">
        <v>181</v>
      </c>
      <c r="N3" s="75" t="s">
        <v>182</v>
      </c>
      <c r="O3" s="75" t="s">
        <v>186</v>
      </c>
      <c r="P3" s="75" t="s">
        <v>187</v>
      </c>
    </row>
    <row r="4" spans="1:16" ht="15.75" x14ac:dyDescent="0.25">
      <c r="A4" s="80" t="s">
        <v>183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x14ac:dyDescent="0.25">
      <c r="A5" s="70" t="s">
        <v>96</v>
      </c>
      <c r="B5" s="74">
        <f>_xlfn.IFNA(INDEX('P&amp;L ACTUALS+EST'!$B$3:$Y$18,MATCH('KPI TRENDS'!$A5,'P&amp;L ACTUALS+EST'!$A$3:$A$18,0),MATCH(B$2,'P&amp;L ACTUALS+EST'!$B$2:$Y$2,0)),0)</f>
        <v>18270176.999999996</v>
      </c>
      <c r="C5" s="74">
        <f>_xlfn.IFNA(INDEX('P&amp;L ACTUALS+EST'!$B$3:$Y$18,MATCH('KPI TRENDS'!$A5,'P&amp;L ACTUALS+EST'!$A$3:$A$18,0),MATCH(C$2,'P&amp;L ACTUALS+EST'!$B$2:$Y$2,0)),0)</f>
        <v>24091844.500000004</v>
      </c>
      <c r="D5" s="74">
        <f>_xlfn.IFNA(INDEX('P&amp;L ACTUALS+EST'!$B$3:$Y$18,MATCH('KPI TRENDS'!$A5,'P&amp;L ACTUALS+EST'!$A$3:$A$18,0),MATCH(D$2,'P&amp;L ACTUALS+EST'!$B$2:$Y$2,0)),0)</f>
        <v>29060427.939999994</v>
      </c>
      <c r="E5" s="74">
        <f>_xlfn.IFNA(INDEX('P&amp;L ACTUALS+EST'!$B$3:$Y$18,MATCH('KPI TRENDS'!$A5,'P&amp;L ACTUALS+EST'!$A$3:$A$18,0),MATCH(E$2,'P&amp;L ACTUALS+EST'!$B$2:$Y$2,0)),0)</f>
        <v>21989688.709999997</v>
      </c>
      <c r="F5" s="74">
        <f>_xlfn.IFNA(INDEX('P&amp;L ACTUALS+EST'!$B$3:$Y$18,MATCH('KPI TRENDS'!$A5,'P&amp;L ACTUALS+EST'!$A$3:$A$18,0),MATCH(F$2,'P&amp;L ACTUALS+EST'!$B$2:$Y$2,0)),0)</f>
        <v>23404056.190000001</v>
      </c>
      <c r="G5" s="74">
        <f>_xlfn.IFNA(INDEX('P&amp;L ACTUALS+EST'!$B$3:$Y$18,MATCH('KPI TRENDS'!$A5,'P&amp;L ACTUALS+EST'!$A$3:$A$18,0),MATCH(G$2,'P&amp;L ACTUALS+EST'!$B$2:$Y$2,0)),0)</f>
        <v>21139929.449999999</v>
      </c>
      <c r="H5" s="84">
        <f>SUM(B5:G5)</f>
        <v>137956123.78999999</v>
      </c>
      <c r="I5" s="81">
        <f>_xlfn.IFNA(INDEX('P&amp;L ACTUALS+EST'!$B$3:$Y$18,MATCH('KPI TRENDS'!$A5,'P&amp;L ACTUALS+EST'!$A$3:$A$18,0),MATCH(I$2,'P&amp;L ACTUALS+EST'!$B$2:$Y$2,0)),0)</f>
        <v>18928135.072498478</v>
      </c>
      <c r="J5" s="81">
        <f>_xlfn.IFNA(INDEX('P&amp;L ACTUALS+EST'!$B$3:$Y$18,MATCH('KPI TRENDS'!$A5,'P&amp;L ACTUALS+EST'!$A$3:$A$18,0),MATCH(J$2,'P&amp;L ACTUALS+EST'!$B$2:$Y$2,0)),0)</f>
        <v>24920142.093276463</v>
      </c>
      <c r="K5" s="81">
        <f>_xlfn.IFNA(INDEX('P&amp;L ACTUALS+EST'!$B$3:$Y$18,MATCH('KPI TRENDS'!$A5,'P&amp;L ACTUALS+EST'!$A$3:$A$18,0),MATCH(K$2,'P&amp;L ACTUALS+EST'!$B$2:$Y$2,0)),0)</f>
        <v>33841465.42255</v>
      </c>
      <c r="L5" s="81">
        <f>_xlfn.IFNA(INDEX('P&amp;L ACTUALS+EST'!$B$3:$Y$18,MATCH('KPI TRENDS'!$A5,'P&amp;L ACTUALS+EST'!$A$3:$A$18,0),MATCH(L$2,'P&amp;L ACTUALS+EST'!$B$2:$Y$2,0)),0)</f>
        <v>31628224.583339993</v>
      </c>
      <c r="M5" s="81">
        <f>_xlfn.IFNA(INDEX('P&amp;L ACTUALS+EST'!$B$3:$Y$18,MATCH('KPI TRENDS'!$A5,'P&amp;L ACTUALS+EST'!$A$3:$A$18,0),MATCH(M$2,'P&amp;L ACTUALS+EST'!$B$2:$Y$2,0)),0)</f>
        <v>28396608.206160001</v>
      </c>
      <c r="N5" s="81">
        <f>_xlfn.IFNA(INDEX('P&amp;L ACTUALS+EST'!$B$3:$Y$18,MATCH('KPI TRENDS'!$A5,'P&amp;L ACTUALS+EST'!$A$3:$A$18,0),MATCH(N$2,'P&amp;L ACTUALS+EST'!$B$2:$Y$2,0)),0)</f>
        <v>22853546.025970001</v>
      </c>
      <c r="O5" s="87">
        <f>SUM(I5:N5)</f>
        <v>160568121.40379494</v>
      </c>
      <c r="P5" s="88">
        <f>SUM('P&amp;L ACTUALS+EST'!B3:G3)</f>
        <v>152365568.60162699</v>
      </c>
    </row>
    <row r="6" spans="1:16" x14ac:dyDescent="0.25">
      <c r="A6" s="70" t="s">
        <v>97</v>
      </c>
      <c r="B6" s="74">
        <f>_xlfn.IFNA(INDEX('P&amp;L ACTUALS+EST'!$B$3:$Y$18,MATCH('KPI TRENDS'!$A6,'P&amp;L ACTUALS+EST'!$A$3:$A$18,0),MATCH(B$2,'P&amp;L ACTUALS+EST'!$B$2:$Y$2,0)),0)</f>
        <v>7089689.080498185</v>
      </c>
      <c r="C6" s="74">
        <f>_xlfn.IFNA(INDEX('P&amp;L ACTUALS+EST'!$B$3:$Y$18,MATCH('KPI TRENDS'!$A6,'P&amp;L ACTUALS+EST'!$A$3:$A$18,0),MATCH(C$2,'P&amp;L ACTUALS+EST'!$B$2:$Y$2,0)),0)</f>
        <v>9381707.0951231197</v>
      </c>
      <c r="D6" s="74">
        <f>_xlfn.IFNA(INDEX('P&amp;L ACTUALS+EST'!$B$3:$Y$18,MATCH('KPI TRENDS'!$A6,'P&amp;L ACTUALS+EST'!$A$3:$A$18,0),MATCH(D$2,'P&amp;L ACTUALS+EST'!$B$2:$Y$2,0)),0)</f>
        <v>11441565.216682021</v>
      </c>
      <c r="E6" s="74">
        <f>_xlfn.IFNA(INDEX('P&amp;L ACTUALS+EST'!$B$3:$Y$18,MATCH('KPI TRENDS'!$A6,'P&amp;L ACTUALS+EST'!$A$3:$A$18,0),MATCH(E$2,'P&amp;L ACTUALS+EST'!$B$2:$Y$2,0)),0)</f>
        <v>8705533.1943718642</v>
      </c>
      <c r="F6" s="74">
        <f>_xlfn.IFNA(INDEX('P&amp;L ACTUALS+EST'!$B$3:$Y$18,MATCH('KPI TRENDS'!$A6,'P&amp;L ACTUALS+EST'!$A$3:$A$18,0),MATCH(F$2,'P&amp;L ACTUALS+EST'!$B$2:$Y$2,0)),0)</f>
        <v>9312671.2069125846</v>
      </c>
      <c r="G6" s="74">
        <f>_xlfn.IFNA(INDEX('P&amp;L ACTUALS+EST'!$B$3:$Y$18,MATCH('KPI TRENDS'!$A6,'P&amp;L ACTUALS+EST'!$A$3:$A$18,0),MATCH(G$2,'P&amp;L ACTUALS+EST'!$B$2:$Y$2,0)),0)</f>
        <v>8293850.1862590965</v>
      </c>
      <c r="H6" s="84">
        <f>SUM(B6:G6)</f>
        <v>54225015.979846872</v>
      </c>
      <c r="I6" s="81">
        <f>_xlfn.IFNA(INDEX('P&amp;L ACTUALS+EST'!$B$3:$Y$18,MATCH('KPI TRENDS'!$A6,'P&amp;L ACTUALS+EST'!$A$3:$A$18,0),MATCH(I$2,'P&amp;L ACTUALS+EST'!$B$2:$Y$2,0)),0)</f>
        <v>7548874.1830198001</v>
      </c>
      <c r="J6" s="81">
        <f>_xlfn.IFNA(INDEX('P&amp;L ACTUALS+EST'!$B$3:$Y$18,MATCH('KPI TRENDS'!$A6,'P&amp;L ACTUALS+EST'!$A$3:$A$18,0),MATCH(J$2,'P&amp;L ACTUALS+EST'!$B$2:$Y$2,0)),0)</f>
        <v>9979469.8227497358</v>
      </c>
      <c r="K6" s="81">
        <f>_xlfn.IFNA(INDEX('P&amp;L ACTUALS+EST'!$B$3:$Y$18,MATCH('KPI TRENDS'!$A6,'P&amp;L ACTUALS+EST'!$A$3:$A$18,0),MATCH(K$2,'P&amp;L ACTUALS+EST'!$B$2:$Y$2,0)),0)</f>
        <v>13516066.124914207</v>
      </c>
      <c r="L6" s="81">
        <f>_xlfn.IFNA(INDEX('P&amp;L ACTUALS+EST'!$B$3:$Y$18,MATCH('KPI TRENDS'!$A6,'P&amp;L ACTUALS+EST'!$A$3:$A$18,0),MATCH(L$2,'P&amp;L ACTUALS+EST'!$B$2:$Y$2,0)),0)</f>
        <v>12653095.714492142</v>
      </c>
      <c r="M6" s="81">
        <f>_xlfn.IFNA(INDEX('P&amp;L ACTUALS+EST'!$B$3:$Y$18,MATCH('KPI TRENDS'!$A6,'P&amp;L ACTUALS+EST'!$A$3:$A$18,0),MATCH(M$2,'P&amp;L ACTUALS+EST'!$B$2:$Y$2,0)),0)</f>
        <v>11342312.363195483</v>
      </c>
      <c r="N6" s="81">
        <f>_xlfn.IFNA(INDEX('P&amp;L ACTUALS+EST'!$B$3:$Y$18,MATCH('KPI TRENDS'!$A6,'P&amp;L ACTUALS+EST'!$A$3:$A$18,0),MATCH(N$2,'P&amp;L ACTUALS+EST'!$B$2:$Y$2,0)),0)</f>
        <v>9124628.0031955186</v>
      </c>
      <c r="O6" s="87">
        <f>SUM(I6:N6)</f>
        <v>64164446.211566888</v>
      </c>
      <c r="P6" s="88">
        <f>SUM('P&amp;L ACTUALS+EST'!B5:G5)</f>
        <v>59153646.764218979</v>
      </c>
    </row>
    <row r="7" spans="1:16" x14ac:dyDescent="0.25">
      <c r="A7" s="78" t="s">
        <v>165</v>
      </c>
      <c r="B7" s="83">
        <f>B6/B5</f>
        <v>0.38804709338602394</v>
      </c>
      <c r="C7" s="83">
        <f t="shared" ref="C7:G7" si="0">C6/C5</f>
        <v>0.38941423082500465</v>
      </c>
      <c r="D7" s="83">
        <f t="shared" si="0"/>
        <v>0.39371633619109131</v>
      </c>
      <c r="E7" s="83">
        <f t="shared" si="0"/>
        <v>0.39589160670623541</v>
      </c>
      <c r="F7" s="83">
        <f t="shared" si="0"/>
        <v>0.39790842797974774</v>
      </c>
      <c r="G7" s="83">
        <f t="shared" si="0"/>
        <v>0.39233102484450805</v>
      </c>
      <c r="H7" s="85">
        <f t="shared" ref="H7" si="1">H6/H5</f>
        <v>0.39305986925516584</v>
      </c>
      <c r="I7" s="82">
        <f t="shared" ref="I7" si="2">I6/I5</f>
        <v>0.3988176412576373</v>
      </c>
      <c r="J7" s="82">
        <f t="shared" ref="J7" si="3">J6/J5</f>
        <v>0.40045798235806329</v>
      </c>
      <c r="K7" s="82">
        <f t="shared" ref="K7" si="4">K6/K5</f>
        <v>0.39939364197591398</v>
      </c>
      <c r="L7" s="82">
        <f t="shared" ref="L7" si="5">L6/L5</f>
        <v>0.4000570971396572</v>
      </c>
      <c r="M7" s="82">
        <f t="shared" ref="M7" si="6">M6/M5</f>
        <v>0.39942489894743927</v>
      </c>
      <c r="N7" s="82">
        <f t="shared" ref="N7:P7" si="7">N6/N5</f>
        <v>0.39926530407257582</v>
      </c>
      <c r="O7" s="89">
        <f t="shared" si="7"/>
        <v>0.39960887410650364</v>
      </c>
      <c r="P7" s="90">
        <f t="shared" si="7"/>
        <v>0.38823500156312429</v>
      </c>
    </row>
    <row r="8" spans="1:16" x14ac:dyDescent="0.25">
      <c r="A8" s="78" t="s">
        <v>173</v>
      </c>
      <c r="B8" s="83">
        <f>'P&amp;L ACTUALS+EST'!N4/B5</f>
        <v>-0.61195290661397606</v>
      </c>
      <c r="C8" s="83">
        <f>'P&amp;L ACTUALS+EST'!O4/C5</f>
        <v>-0.61058576917499541</v>
      </c>
      <c r="D8" s="83">
        <f>'P&amp;L ACTUALS+EST'!P4/D5</f>
        <v>-0.60628366380890875</v>
      </c>
      <c r="E8" s="83">
        <f>'P&amp;L ACTUALS+EST'!Q4/E5</f>
        <v>-0.60410839329376453</v>
      </c>
      <c r="F8" s="83">
        <f>'P&amp;L ACTUALS+EST'!R4/F5</f>
        <v>-0.60209157202025232</v>
      </c>
      <c r="G8" s="83">
        <f>'P&amp;L ACTUALS+EST'!S4/G5</f>
        <v>-0.60766897515549201</v>
      </c>
      <c r="H8" s="85">
        <f>SUM('P&amp;L ACTUALS+EST'!N4:S4)/H5</f>
        <v>-0.60694013074483411</v>
      </c>
      <c r="I8" s="82">
        <f>'Budget (from Controlling)_copy'!C5/I5</f>
        <v>-0.6011823587423627</v>
      </c>
      <c r="J8" s="82">
        <f>'Budget (from Controlling)_copy'!D5/J5</f>
        <v>-0.59954201764193671</v>
      </c>
      <c r="K8" s="82">
        <f>'Budget (from Controlling)_copy'!E5/K5</f>
        <v>-0.60060635802408602</v>
      </c>
      <c r="L8" s="82">
        <f>'Budget (from Controlling)_copy'!F5/L5</f>
        <v>-0.5999429028603428</v>
      </c>
      <c r="M8" s="82">
        <f>'Budget (from Controlling)_copy'!G5/M5</f>
        <v>-0.60057510105256073</v>
      </c>
      <c r="N8" s="82">
        <f>'Budget (from Controlling)_copy'!H5/N5</f>
        <v>-0.60073469592742423</v>
      </c>
      <c r="O8" s="89">
        <f>SUM('Budget (from Controlling)_copy'!C5:H5)/'KPI TRENDS'!O5</f>
        <v>-0.6003911258934963</v>
      </c>
      <c r="P8" s="90">
        <f>SUM('P&amp;L ACTUALS+EST'!B4:G4)/'KPI TRENDS'!P5</f>
        <v>-0.61176499843687571</v>
      </c>
    </row>
    <row r="9" spans="1:16" ht="15.75" x14ac:dyDescent="0.25">
      <c r="A9" s="80" t="s">
        <v>98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</row>
    <row r="10" spans="1:16" x14ac:dyDescent="0.25">
      <c r="A10" s="70" t="s">
        <v>98</v>
      </c>
      <c r="B10" s="74">
        <f>_xlfn.IFNA(INDEX('P&amp;L ACTUALS+EST'!$B$3:$Y$18,MATCH('KPI TRENDS'!$A10,'P&amp;L ACTUALS+EST'!$A$3:$A$18,0),MATCH(B$2,'P&amp;L ACTUALS+EST'!$B$2:$Y$2,0)),0)</f>
        <v>-5168388.6399160577</v>
      </c>
      <c r="C10" s="74">
        <f>_xlfn.IFNA(INDEX('P&amp;L ACTUALS+EST'!$B$3:$Y$18,MATCH('KPI TRENDS'!$A10,'P&amp;L ACTUALS+EST'!$A$3:$A$18,0),MATCH(C$2,'P&amp;L ACTUALS+EST'!$B$2:$Y$2,0)),0)</f>
        <v>-6758980.4708719961</v>
      </c>
      <c r="D10" s="74">
        <f>_xlfn.IFNA(INDEX('P&amp;L ACTUALS+EST'!$B$3:$Y$18,MATCH('KPI TRENDS'!$A10,'P&amp;L ACTUALS+EST'!$A$3:$A$18,0),MATCH(D$2,'P&amp;L ACTUALS+EST'!$B$2:$Y$2,0)),0)</f>
        <v>-7884645.0339313783</v>
      </c>
      <c r="E10" s="74">
        <f>_xlfn.IFNA(INDEX('P&amp;L ACTUALS+EST'!$B$3:$Y$18,MATCH('KPI TRENDS'!$A10,'P&amp;L ACTUALS+EST'!$A$3:$A$18,0),MATCH(E$2,'P&amp;L ACTUALS+EST'!$B$2:$Y$2,0)),0)</f>
        <v>-5919193.3124735793</v>
      </c>
      <c r="F10" s="74">
        <f>_xlfn.IFNA(INDEX('P&amp;L ACTUALS+EST'!$B$3:$Y$18,MATCH('KPI TRENDS'!$A10,'P&amp;L ACTUALS+EST'!$A$3:$A$18,0),MATCH(F$2,'P&amp;L ACTUALS+EST'!$B$2:$Y$2,0)),0)</f>
        <v>-6297414.2929827347</v>
      </c>
      <c r="G10" s="74">
        <f>_xlfn.IFNA(INDEX('P&amp;L ACTUALS+EST'!$B$3:$Y$18,MATCH('KPI TRENDS'!$A10,'P&amp;L ACTUALS+EST'!$A$3:$A$18,0),MATCH(G$2,'P&amp;L ACTUALS+EST'!$B$2:$Y$2,0)),0)</f>
        <v>-5653880.566444505</v>
      </c>
      <c r="H10" s="84">
        <f>SUM(B10:G10)</f>
        <v>-37682502.316620253</v>
      </c>
      <c r="I10" s="81">
        <f>_xlfn.IFNA(INDEX('P&amp;L ACTUALS+EST'!$B$3:$Y$18,MATCH('KPI TRENDS'!$A10,'P&amp;L ACTUALS+EST'!$A$3:$A$18,0),MATCH(I$2,'P&amp;L ACTUALS+EST'!$B$2:$Y$2,0)),0)</f>
        <v>-5021979.1927508004</v>
      </c>
      <c r="J10" s="81">
        <f>_xlfn.IFNA(INDEX('P&amp;L ACTUALS+EST'!$B$3:$Y$18,MATCH('KPI TRENDS'!$A10,'P&amp;L ACTUALS+EST'!$A$3:$A$18,0),MATCH(J$2,'P&amp;L ACTUALS+EST'!$B$2:$Y$2,0)),0)</f>
        <v>-6548726.8423590939</v>
      </c>
      <c r="K10" s="81">
        <f>_xlfn.IFNA(INDEX('P&amp;L ACTUALS+EST'!$B$3:$Y$18,MATCH('KPI TRENDS'!$A10,'P&amp;L ACTUALS+EST'!$A$3:$A$18,0),MATCH(K$2,'P&amp;L ACTUALS+EST'!$B$2:$Y$2,0)),0)</f>
        <v>-8721929.0934460107</v>
      </c>
      <c r="L10" s="81">
        <f>_xlfn.IFNA(INDEX('P&amp;L ACTUALS+EST'!$B$3:$Y$18,MATCH('KPI TRENDS'!$A10,'P&amp;L ACTUALS+EST'!$A$3:$A$18,0),MATCH(L$2,'P&amp;L ACTUALS+EST'!$B$2:$Y$2,0)),0)</f>
        <v>-8071502.016617313</v>
      </c>
      <c r="M10" s="81">
        <f>_xlfn.IFNA(INDEX('P&amp;L ACTUALS+EST'!$B$3:$Y$18,MATCH('KPI TRENDS'!$A10,'P&amp;L ACTUALS+EST'!$A$3:$A$18,0),MATCH(M$2,'P&amp;L ACTUALS+EST'!$B$2:$Y$2,0)),0)</f>
        <v>-7176382.4926219285</v>
      </c>
      <c r="N10" s="81">
        <f>_xlfn.IFNA(INDEX('P&amp;L ACTUALS+EST'!$B$3:$Y$18,MATCH('KPI TRENDS'!$A10,'P&amp;L ACTUALS+EST'!$A$3:$A$18,0),MATCH(N$2,'P&amp;L ACTUALS+EST'!$B$2:$Y$2,0)),0)</f>
        <v>-5687104.7382245921</v>
      </c>
      <c r="O10" s="87">
        <f>SUM(I10:N10)</f>
        <v>-41227624.376019746</v>
      </c>
      <c r="P10" s="88">
        <f>SUM('P&amp;L ACTUALS+EST'!B9:G9)</f>
        <v>-37395621.853744306</v>
      </c>
    </row>
    <row r="11" spans="1:16" x14ac:dyDescent="0.25">
      <c r="A11" s="63" t="s">
        <v>174</v>
      </c>
      <c r="B11" s="83">
        <f>B10/B5</f>
        <v>-0.28288662118139624</v>
      </c>
      <c r="C11" s="83">
        <f t="shared" ref="C11:P11" si="8">C10/C5</f>
        <v>-0.28055056020604796</v>
      </c>
      <c r="D11" s="83">
        <f t="shared" si="8"/>
        <v>-0.27131895821391611</v>
      </c>
      <c r="E11" s="83">
        <f t="shared" si="8"/>
        <v>-0.26918040498598672</v>
      </c>
      <c r="F11" s="83">
        <f t="shared" si="8"/>
        <v>-0.26907362731736523</v>
      </c>
      <c r="G11" s="83">
        <f t="shared" si="8"/>
        <v>-0.26745030440224604</v>
      </c>
      <c r="H11" s="85">
        <f t="shared" si="8"/>
        <v>-0.27314845678022553</v>
      </c>
      <c r="I11" s="82">
        <f t="shared" si="8"/>
        <v>-0.26531822461725008</v>
      </c>
      <c r="J11" s="82">
        <f t="shared" si="8"/>
        <v>-0.26278850328570003</v>
      </c>
      <c r="K11" s="82">
        <f t="shared" si="8"/>
        <v>-0.25772906062259998</v>
      </c>
      <c r="L11" s="82">
        <f t="shared" si="8"/>
        <v>-0.25519933929105004</v>
      </c>
      <c r="M11" s="82">
        <f t="shared" si="8"/>
        <v>-0.25271970654105003</v>
      </c>
      <c r="N11" s="82">
        <f t="shared" si="8"/>
        <v>-0.24884999167140004</v>
      </c>
      <c r="O11" s="89">
        <f t="shared" si="8"/>
        <v>-0.25676095613238803</v>
      </c>
      <c r="P11" s="90">
        <f t="shared" si="8"/>
        <v>-0.24543354641702816</v>
      </c>
    </row>
    <row r="12" spans="1:16" x14ac:dyDescent="0.25">
      <c r="A12" s="70" t="s">
        <v>99</v>
      </c>
      <c r="B12" s="74">
        <f>_xlfn.IFNA(INDEX('P&amp;L ACTUALS+EST'!$B$3:$Y$18,MATCH('KPI TRENDS'!$A12,'P&amp;L ACTUALS+EST'!$A$3:$A$18,0),MATCH(B$2,'P&amp;L ACTUALS+EST'!$B$2:$Y$2,0)),0)</f>
        <v>1921300.4405821273</v>
      </c>
      <c r="C12" s="74">
        <f>_xlfn.IFNA(INDEX('P&amp;L ACTUALS+EST'!$B$3:$Y$18,MATCH('KPI TRENDS'!$A12,'P&amp;L ACTUALS+EST'!$A$3:$A$18,0),MATCH(C$2,'P&amp;L ACTUALS+EST'!$B$2:$Y$2,0)),0)</f>
        <v>2622726.6242511235</v>
      </c>
      <c r="D12" s="74">
        <f>_xlfn.IFNA(INDEX('P&amp;L ACTUALS+EST'!$B$3:$Y$18,MATCH('KPI TRENDS'!$A12,'P&amp;L ACTUALS+EST'!$A$3:$A$18,0),MATCH(D$2,'P&amp;L ACTUALS+EST'!$B$2:$Y$2,0)),0)</f>
        <v>3556920.1827506423</v>
      </c>
      <c r="E12" s="74">
        <f>_xlfn.IFNA(INDEX('P&amp;L ACTUALS+EST'!$B$3:$Y$18,MATCH('KPI TRENDS'!$A12,'P&amp;L ACTUALS+EST'!$A$3:$A$18,0),MATCH(E$2,'P&amp;L ACTUALS+EST'!$B$2:$Y$2,0)),0)</f>
        <v>2786339.8818982849</v>
      </c>
      <c r="F12" s="74">
        <f>_xlfn.IFNA(INDEX('P&amp;L ACTUALS+EST'!$B$3:$Y$18,MATCH('KPI TRENDS'!$A12,'P&amp;L ACTUALS+EST'!$A$3:$A$18,0),MATCH(F$2,'P&amp;L ACTUALS+EST'!$B$2:$Y$2,0)),0)</f>
        <v>3015256.9139298499</v>
      </c>
      <c r="G12" s="74">
        <f>_xlfn.IFNA(INDEX('P&amp;L ACTUALS+EST'!$B$3:$Y$18,MATCH('KPI TRENDS'!$A12,'P&amp;L ACTUALS+EST'!$A$3:$A$18,0),MATCH(G$2,'P&amp;L ACTUALS+EST'!$B$2:$Y$2,0)),0)</f>
        <v>2639969.6198145915</v>
      </c>
      <c r="H12" s="84">
        <f>SUM(B12:G12)</f>
        <v>16542513.663226619</v>
      </c>
      <c r="I12" s="81">
        <f>_xlfn.IFNA(INDEX('P&amp;L ACTUALS+EST'!$B$3:$Y$18,MATCH('KPI TRENDS'!$A12,'P&amp;L ACTUALS+EST'!$A$3:$A$18,0),MATCH(I$2,'P&amp;L ACTUALS+EST'!$B$2:$Y$2,0)),0)</f>
        <v>2526894.9902689997</v>
      </c>
      <c r="J12" s="81">
        <f>_xlfn.IFNA(INDEX('P&amp;L ACTUALS+EST'!$B$3:$Y$18,MATCH('KPI TRENDS'!$A12,'P&amp;L ACTUALS+EST'!$A$3:$A$18,0),MATCH(J$2,'P&amp;L ACTUALS+EST'!$B$2:$Y$2,0)),0)</f>
        <v>3430742.9803906418</v>
      </c>
      <c r="K12" s="81">
        <f>_xlfn.IFNA(INDEX('P&amp;L ACTUALS+EST'!$B$3:$Y$18,MATCH('KPI TRENDS'!$A12,'P&amp;L ACTUALS+EST'!$A$3:$A$18,0),MATCH(K$2,'P&amp;L ACTUALS+EST'!$B$2:$Y$2,0)),0)</f>
        <v>4794137.0314681958</v>
      </c>
      <c r="L12" s="81">
        <f>_xlfn.IFNA(INDEX('P&amp;L ACTUALS+EST'!$B$3:$Y$18,MATCH('KPI TRENDS'!$A12,'P&amp;L ACTUALS+EST'!$A$3:$A$18,0),MATCH(L$2,'P&amp;L ACTUALS+EST'!$B$2:$Y$2,0)),0)</f>
        <v>4581593.6978748292</v>
      </c>
      <c r="M12" s="81">
        <f>_xlfn.IFNA(INDEX('P&amp;L ACTUALS+EST'!$B$3:$Y$18,MATCH('KPI TRENDS'!$A12,'P&amp;L ACTUALS+EST'!$A$3:$A$18,0),MATCH(M$2,'P&amp;L ACTUALS+EST'!$B$2:$Y$2,0)),0)</f>
        <v>4165929.8705735542</v>
      </c>
      <c r="N12" s="81">
        <f>_xlfn.IFNA(INDEX('P&amp;L ACTUALS+EST'!$B$3:$Y$18,MATCH('KPI TRENDS'!$A12,'P&amp;L ACTUALS+EST'!$A$3:$A$18,0),MATCH(N$2,'P&amp;L ACTUALS+EST'!$B$2:$Y$2,0)),0)</f>
        <v>3437523.2649709266</v>
      </c>
      <c r="O12" s="87">
        <f>SUM(I12:N12)</f>
        <v>22936821.835547149</v>
      </c>
      <c r="P12" s="88">
        <f>SUM('P&amp;L ACTUALS+EST'!B10:G10)</f>
        <v>21758024.910474673</v>
      </c>
    </row>
    <row r="13" spans="1:16" x14ac:dyDescent="0.25">
      <c r="A13" s="63" t="s">
        <v>166</v>
      </c>
      <c r="B13" s="83">
        <f>B12/B5</f>
        <v>0.10516047220462767</v>
      </c>
      <c r="C13" s="83">
        <f t="shared" ref="C13:O13" si="9">C12/C5</f>
        <v>0.10886367061895669</v>
      </c>
      <c r="D13" s="83">
        <f t="shared" si="9"/>
        <v>0.1223973779771752</v>
      </c>
      <c r="E13" s="83">
        <f t="shared" si="9"/>
        <v>0.12671120172024869</v>
      </c>
      <c r="F13" s="83">
        <f t="shared" si="9"/>
        <v>0.12883480066238251</v>
      </c>
      <c r="G13" s="83">
        <f t="shared" si="9"/>
        <v>0.12488072044226201</v>
      </c>
      <c r="H13" s="85">
        <f t="shared" si="9"/>
        <v>0.11991141247494035</v>
      </c>
      <c r="I13" s="82">
        <f t="shared" si="9"/>
        <v>0.1334994166403872</v>
      </c>
      <c r="J13" s="82">
        <f t="shared" si="9"/>
        <v>0.13766947907236321</v>
      </c>
      <c r="K13" s="82">
        <f t="shared" si="9"/>
        <v>0.14166458135331395</v>
      </c>
      <c r="L13" s="82">
        <f t="shared" si="9"/>
        <v>0.14485775784860716</v>
      </c>
      <c r="M13" s="82">
        <f t="shared" si="9"/>
        <v>0.14670519240638921</v>
      </c>
      <c r="N13" s="82">
        <f t="shared" si="9"/>
        <v>0.15041531240117575</v>
      </c>
      <c r="O13" s="89">
        <f t="shared" si="9"/>
        <v>0.1428479179741157</v>
      </c>
      <c r="P13" s="90">
        <f>P12/P5</f>
        <v>0.14280145514609616</v>
      </c>
    </row>
    <row r="14" spans="1:16" ht="15.75" x14ac:dyDescent="0.25">
      <c r="A14" s="80" t="s">
        <v>23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 x14ac:dyDescent="0.25">
      <c r="A15" s="70" t="s">
        <v>23</v>
      </c>
      <c r="B15" s="74">
        <f>_xlfn.IFNA(INDEX('P&amp;L ACTUALS+EST'!$B$3:$Y$18,MATCH('KPI TRENDS'!$A15,'P&amp;L ACTUALS+EST'!$A$3:$A$18,0),MATCH(B$2,'P&amp;L ACTUALS+EST'!$B$2:$Y$2,0)),0)</f>
        <v>-2373063.4661338371</v>
      </c>
      <c r="C15" s="74">
        <f>_xlfn.IFNA(INDEX('P&amp;L ACTUALS+EST'!$B$3:$Y$18,MATCH('KPI TRENDS'!$A15,'P&amp;L ACTUALS+EST'!$A$3:$A$18,0),MATCH(C$2,'P&amp;L ACTUALS+EST'!$B$2:$Y$2,0)),0)</f>
        <v>-2356777.3111779531</v>
      </c>
      <c r="D15" s="74">
        <f>_xlfn.IFNA(INDEX('P&amp;L ACTUALS+EST'!$B$3:$Y$18,MATCH('KPI TRENDS'!$A15,'P&amp;L ACTUALS+EST'!$A$3:$A$18,0),MATCH(D$2,'P&amp;L ACTUALS+EST'!$B$2:$Y$2,0)),0)</f>
        <v>-2462522.4392632325</v>
      </c>
      <c r="E15" s="74">
        <f>_xlfn.IFNA(INDEX('P&amp;L ACTUALS+EST'!$B$3:$Y$18,MATCH('KPI TRENDS'!$A15,'P&amp;L ACTUALS+EST'!$A$3:$A$18,0),MATCH(E$2,'P&amp;L ACTUALS+EST'!$B$2:$Y$2,0)),0)</f>
        <v>-2392503.9977099472</v>
      </c>
      <c r="F15" s="74">
        <f>_xlfn.IFNA(INDEX('P&amp;L ACTUALS+EST'!$B$3:$Y$18,MATCH('KPI TRENDS'!$A15,'P&amp;L ACTUALS+EST'!$A$3:$A$18,0),MATCH(F$2,'P&amp;L ACTUALS+EST'!$B$2:$Y$2,0)),0)</f>
        <v>-2294704.3929673857</v>
      </c>
      <c r="G15" s="74">
        <f>_xlfn.IFNA(INDEX('P&amp;L ACTUALS+EST'!$B$3:$Y$18,MATCH('KPI TRENDS'!$A15,'P&amp;L ACTUALS+EST'!$A$3:$A$18,0),MATCH(G$2,'P&amp;L ACTUALS+EST'!$B$2:$Y$2,0)),0)</f>
        <v>-2309268.9348691781</v>
      </c>
      <c r="H15" s="84">
        <f>SUM(B15:G15)</f>
        <v>-14188840.542121533</v>
      </c>
      <c r="I15" s="81">
        <f>_xlfn.IFNA(INDEX('P&amp;L ACTUALS+EST'!$B$3:$Y$18,MATCH('KPI TRENDS'!$A15,'P&amp;L ACTUALS+EST'!$A$3:$A$18,0),MATCH(I$2,'P&amp;L ACTUALS+EST'!$B$2:$Y$2,0)),0)</f>
        <v>-2369183.9736569803</v>
      </c>
      <c r="J15" s="81">
        <f>_xlfn.IFNA(INDEX('P&amp;L ACTUALS+EST'!$B$3:$Y$18,MATCH('KPI TRENDS'!$A15,'P&amp;L ACTUALS+EST'!$A$3:$A$18,0),MATCH(J$2,'P&amp;L ACTUALS+EST'!$B$2:$Y$2,0)),0)</f>
        <v>-2360597.4112134115</v>
      </c>
      <c r="K15" s="81">
        <f>_xlfn.IFNA(INDEX('P&amp;L ACTUALS+EST'!$B$3:$Y$18,MATCH('KPI TRENDS'!$A15,'P&amp;L ACTUALS+EST'!$A$3:$A$18,0),MATCH(K$2,'P&amp;L ACTUALS+EST'!$B$2:$Y$2,0)),0)</f>
        <v>-2484052.8661024785</v>
      </c>
      <c r="L15" s="81">
        <f>_xlfn.IFNA(INDEX('P&amp;L ACTUALS+EST'!$B$3:$Y$18,MATCH('KPI TRENDS'!$A15,'P&amp;L ACTUALS+EST'!$A$3:$A$18,0),MATCH(L$2,'P&amp;L ACTUALS+EST'!$B$2:$Y$2,0)),0)</f>
        <v>-2482457.1355649219</v>
      </c>
      <c r="M15" s="81">
        <f>_xlfn.IFNA(INDEX('P&amp;L ACTUALS+EST'!$B$3:$Y$18,MATCH('KPI TRENDS'!$A15,'P&amp;L ACTUALS+EST'!$A$3:$A$18,0),MATCH(M$2,'P&amp;L ACTUALS+EST'!$B$2:$Y$2,0)),0)</f>
        <v>-2409260.5816019052</v>
      </c>
      <c r="N15" s="81">
        <f>_xlfn.IFNA(INDEX('P&amp;L ACTUALS+EST'!$B$3:$Y$18,MATCH('KPI TRENDS'!$A15,'P&amp;L ACTUALS+EST'!$A$3:$A$18,0),MATCH(N$2,'P&amp;L ACTUALS+EST'!$B$2:$Y$2,0)),0)</f>
        <v>-2410225.4994360604</v>
      </c>
      <c r="O15" s="87">
        <f>SUM(I15:N15)</f>
        <v>-14515777.467575757</v>
      </c>
      <c r="P15" s="88">
        <f>SUM('P&amp;L ACTUALS+EST'!B17:G17)</f>
        <v>-14312604.166030681</v>
      </c>
    </row>
    <row r="16" spans="1:16" x14ac:dyDescent="0.25">
      <c r="A16" s="63" t="s">
        <v>175</v>
      </c>
      <c r="B16" s="83">
        <f>B15/B5</f>
        <v>-0.12988727291114024</v>
      </c>
      <c r="C16" s="83">
        <f t="shared" ref="C16:P16" si="10">C15/C5</f>
        <v>-9.7824693795361031E-2</v>
      </c>
      <c r="D16" s="83">
        <f t="shared" si="10"/>
        <v>-8.4737996437888416E-2</v>
      </c>
      <c r="E16" s="83">
        <f t="shared" si="10"/>
        <v>-0.10880117628140573</v>
      </c>
      <c r="F16" s="83">
        <f t="shared" si="10"/>
        <v>-9.8047294637237214E-2</v>
      </c>
      <c r="G16" s="83">
        <f t="shared" si="10"/>
        <v>-0.10923730565568081</v>
      </c>
      <c r="H16" s="85">
        <f t="shared" si="10"/>
        <v>-0.10285038570466154</v>
      </c>
      <c r="I16" s="82">
        <f t="shared" si="10"/>
        <v>-0.12516732179808207</v>
      </c>
      <c r="J16" s="82">
        <f t="shared" si="10"/>
        <v>-9.4726482793623737E-2</v>
      </c>
      <c r="K16" s="82">
        <f t="shared" si="10"/>
        <v>-7.3402638895396319E-2</v>
      </c>
      <c r="L16" s="82">
        <f t="shared" si="10"/>
        <v>-7.8488665369871688E-2</v>
      </c>
      <c r="M16" s="82">
        <f t="shared" si="10"/>
        <v>-8.484325184580567E-2</v>
      </c>
      <c r="N16" s="82">
        <f t="shared" si="10"/>
        <v>-0.10546396155315071</v>
      </c>
      <c r="O16" s="89">
        <f t="shared" si="10"/>
        <v>-9.0402611307082797E-2</v>
      </c>
      <c r="P16" s="90">
        <f t="shared" si="10"/>
        <v>-9.3935948242035092E-2</v>
      </c>
    </row>
    <row r="17" spans="1:16" x14ac:dyDescent="0.25">
      <c r="A17" s="63" t="s">
        <v>176</v>
      </c>
      <c r="B17" s="83">
        <f>'P&amp;L ACTUALS+EST'!N11/B5</f>
        <v>-8.613598860617705E-2</v>
      </c>
      <c r="C17" s="83">
        <f>'P&amp;L ACTUALS+EST'!O11/C5</f>
        <v>-6.6135826154400917E-2</v>
      </c>
      <c r="D17" s="83">
        <f>'P&amp;L ACTUALS+EST'!P11/D5</f>
        <v>-5.4892023225546059E-2</v>
      </c>
      <c r="E17" s="83">
        <f>'P&amp;L ACTUALS+EST'!Q11/E5</f>
        <v>-7.2386849427224495E-2</v>
      </c>
      <c r="F17" s="83">
        <f>'P&amp;L ACTUALS+EST'!R11/F5</f>
        <v>-6.7555494660116705E-2</v>
      </c>
      <c r="G17" s="83">
        <f>'P&amp;L ACTUALS+EST'!S11/G5</f>
        <v>-7.5319055093311951E-2</v>
      </c>
      <c r="H17" s="86">
        <f>SUM('P&amp;L ACTUALS+EST'!N11:S11)/'KPI TRENDS'!H5</f>
        <v>-6.9060478148178395E-2</v>
      </c>
      <c r="I17" s="82">
        <f>'P&amp;L ACTUALS+EST'!T11/I5</f>
        <v>-8.1346730272973053E-2</v>
      </c>
      <c r="J17" s="82">
        <f>'P&amp;L ACTUALS+EST'!U11/J5</f>
        <v>-6.1787043290108784E-2</v>
      </c>
      <c r="K17" s="82">
        <f>'P&amp;L ACTUALS+EST'!V11/K5</f>
        <v>-4.5498676818142153E-2</v>
      </c>
      <c r="L17" s="82">
        <f>'P&amp;L ACTUALS+EST'!W11/L5</f>
        <v>-4.8682527033907116E-2</v>
      </c>
      <c r="M17" s="82">
        <f>'P&amp;L ACTUALS+EST'!X11/M5</f>
        <v>-5.4222739812247109E-2</v>
      </c>
      <c r="N17" s="82">
        <f>'P&amp;L ACTUALS+EST'!Y11/N5</f>
        <v>-6.7374310164524318E-2</v>
      </c>
      <c r="O17" s="89">
        <f>'P&amp;L ACTUALS+EST'!Z11/O5</f>
        <v>0</v>
      </c>
      <c r="P17" s="90">
        <f>SUM('P&amp;L ACTUALS+EST'!B11:G11)/P5</f>
        <v>-6.1154825175661759E-2</v>
      </c>
    </row>
    <row r="18" spans="1:16" x14ac:dyDescent="0.25">
      <c r="A18" s="63" t="s">
        <v>185</v>
      </c>
      <c r="B18" s="83">
        <f>'P&amp;L ACTUALS+EST'!N12/B5</f>
        <v>-3.1371042834067789E-2</v>
      </c>
      <c r="C18" s="83">
        <f>'P&amp;L ACTUALS+EST'!O12/C5</f>
        <v>-2.511318803498392E-2</v>
      </c>
      <c r="D18" s="83">
        <f>'P&amp;L ACTUALS+EST'!P12/D5</f>
        <v>-2.3556330295439066E-2</v>
      </c>
      <c r="E18" s="83">
        <f>'P&amp;L ACTUALS+EST'!Q12/E5</f>
        <v>-2.9644233524788219E-2</v>
      </c>
      <c r="F18" s="83">
        <f>'P&amp;L ACTUALS+EST'!R12/F5</f>
        <v>-2.4197023590497947E-2</v>
      </c>
      <c r="G18" s="83">
        <f>'P&amp;L ACTUALS+EST'!S12/G5</f>
        <v>-2.6297945776819997E-2</v>
      </c>
      <c r="H18" s="86">
        <f>SUM('P&amp;L ACTUALS+EST'!N12:S12)/H5</f>
        <v>-2.6362347323631248E-2</v>
      </c>
      <c r="I18" s="82">
        <f>SUM('P&amp;L ACTUALS+EST'!T12:Y12)/I5</f>
        <v>-0.22234327705342646</v>
      </c>
      <c r="J18" s="82">
        <f>SUM('P&amp;L ACTUALS+EST'!U12:Z12)/J5</f>
        <v>-0.14502942312815478</v>
      </c>
      <c r="K18" s="82">
        <f>SUM('P&amp;L ACTUALS+EST'!V12:AA12)/K5</f>
        <v>-8.7448895685600062E-2</v>
      </c>
      <c r="L18" s="82">
        <f>SUM('P&amp;L ACTUALS+EST'!W12:AB12)/L5</f>
        <v>-6.9460165942765606E-2</v>
      </c>
      <c r="M18" s="82">
        <f>SUM('P&amp;L ACTUALS+EST'!X12:AC12)/M5</f>
        <v>-4.9231251477160072E-2</v>
      </c>
      <c r="N18" s="82">
        <f>SUM('P&amp;L ACTUALS+EST'!Y12:AD12)/N5</f>
        <v>-2.9724005879221881E-2</v>
      </c>
      <c r="O18" s="89">
        <f>SUM('P&amp;L ACTUALS+EST'!Z12:AE12)/O5</f>
        <v>0</v>
      </c>
      <c r="P18" s="90">
        <f>SUM('P&amp;L ACTUALS+EST'!B12:G12)/P5</f>
        <v>-2.5814351205840653E-2</v>
      </c>
    </row>
    <row r="19" spans="1:16" ht="15.75" x14ac:dyDescent="0.25">
      <c r="A19" s="80" t="s">
        <v>184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</row>
    <row r="20" spans="1:16" x14ac:dyDescent="0.25">
      <c r="A20" s="70" t="s">
        <v>24</v>
      </c>
      <c r="B20" s="74">
        <f>_xlfn.IFNA(INDEX('P&amp;L ACTUALS+EST'!$B$3:$Y$18,MATCH('KPI TRENDS'!$A20,'P&amp;L ACTUALS+EST'!$A$3:$A$18,0),MATCH(B$2,'P&amp;L ACTUALS+EST'!$B$2:$Y$2,0)),0)</f>
        <v>-451763.02555170981</v>
      </c>
      <c r="C20" s="74">
        <f>_xlfn.IFNA(INDEX('P&amp;L ACTUALS+EST'!$B$3:$Y$18,MATCH('KPI TRENDS'!$A20,'P&amp;L ACTUALS+EST'!$A$3:$A$18,0),MATCH(C$2,'P&amp;L ACTUALS+EST'!$B$2:$Y$2,0)),0)</f>
        <v>265949.31307317037</v>
      </c>
      <c r="D20" s="74">
        <f>_xlfn.IFNA(INDEX('P&amp;L ACTUALS+EST'!$B$3:$Y$18,MATCH('KPI TRENDS'!$A20,'P&amp;L ACTUALS+EST'!$A$3:$A$18,0),MATCH(D$2,'P&amp;L ACTUALS+EST'!$B$2:$Y$2,0)),0)</f>
        <v>1094397.7434874098</v>
      </c>
      <c r="E20" s="74">
        <f>_xlfn.IFNA(INDEX('P&amp;L ACTUALS+EST'!$B$3:$Y$18,MATCH('KPI TRENDS'!$A20,'P&amp;L ACTUALS+EST'!$A$3:$A$18,0),MATCH(E$2,'P&amp;L ACTUALS+EST'!$B$2:$Y$2,0)),0)</f>
        <v>393835.88418833772</v>
      </c>
      <c r="F20" s="74">
        <f>_xlfn.IFNA(INDEX('P&amp;L ACTUALS+EST'!$B$3:$Y$18,MATCH('KPI TRENDS'!$A20,'P&amp;L ACTUALS+EST'!$A$3:$A$18,0),MATCH(F$2,'P&amp;L ACTUALS+EST'!$B$2:$Y$2,0)),0)</f>
        <v>720552.52096246416</v>
      </c>
      <c r="G20" s="74">
        <f>_xlfn.IFNA(INDEX('P&amp;L ACTUALS+EST'!$B$3:$Y$18,MATCH('KPI TRENDS'!$A20,'P&amp;L ACTUALS+EST'!$A$3:$A$18,0),MATCH(G$2,'P&amp;L ACTUALS+EST'!$B$2:$Y$2,0)),0)</f>
        <v>330700.68494541338</v>
      </c>
      <c r="H20" s="84">
        <f>SUM(B20:G20)</f>
        <v>2353673.1211050856</v>
      </c>
      <c r="I20" s="81">
        <f>_xlfn.IFNA(INDEX('P&amp;L ACTUALS+EST'!$B$3:$Y$18,MATCH('KPI TRENDS'!$A20,'P&amp;L ACTUALS+EST'!$A$3:$A$18,0),MATCH(I$2,'P&amp;L ACTUALS+EST'!$B$2:$Y$2,0)),0)</f>
        <v>157711.01661201939</v>
      </c>
      <c r="J20" s="81">
        <f>_xlfn.IFNA(INDEX('P&amp;L ACTUALS+EST'!$B$3:$Y$18,MATCH('KPI TRENDS'!$A20,'P&amp;L ACTUALS+EST'!$A$3:$A$18,0),MATCH(J$2,'P&amp;L ACTUALS+EST'!$B$2:$Y$2,0)),0)</f>
        <v>1070145.5691772304</v>
      </c>
      <c r="K20" s="81">
        <f>_xlfn.IFNA(INDEX('P&amp;L ACTUALS+EST'!$B$3:$Y$18,MATCH('KPI TRENDS'!$A20,'P&amp;L ACTUALS+EST'!$A$3:$A$18,0),MATCH(K$2,'P&amp;L ACTUALS+EST'!$B$2:$Y$2,0)),0)</f>
        <v>2310084.1653657174</v>
      </c>
      <c r="L20" s="81">
        <f>_xlfn.IFNA(INDEX('P&amp;L ACTUALS+EST'!$B$3:$Y$18,MATCH('KPI TRENDS'!$A20,'P&amp;L ACTUALS+EST'!$A$3:$A$18,0),MATCH(L$2,'P&amp;L ACTUALS+EST'!$B$2:$Y$2,0)),0)</f>
        <v>2099136.5623099073</v>
      </c>
      <c r="M20" s="81">
        <f>_xlfn.IFNA(INDEX('P&amp;L ACTUALS+EST'!$B$3:$Y$18,MATCH('KPI TRENDS'!$A20,'P&amp;L ACTUALS+EST'!$A$3:$A$18,0),MATCH(M$2,'P&amp;L ACTUALS+EST'!$B$2:$Y$2,0)),0)</f>
        <v>1756669.288971649</v>
      </c>
      <c r="N20" s="81">
        <f>_xlfn.IFNA(INDEX('P&amp;L ACTUALS+EST'!$B$3:$Y$18,MATCH('KPI TRENDS'!$A20,'P&amp;L ACTUALS+EST'!$A$3:$A$18,0),MATCH(N$2,'P&amp;L ACTUALS+EST'!$B$2:$Y$2,0)),0)</f>
        <v>1027297.7655348661</v>
      </c>
      <c r="O20" s="87">
        <f>SUM(I20:N20)</f>
        <v>8421044.3679713905</v>
      </c>
      <c r="P20" s="88">
        <f>SUM('P&amp;L ACTUALS+EST'!B18:G18)</f>
        <v>7445420.7444439959</v>
      </c>
    </row>
    <row r="21" spans="1:16" x14ac:dyDescent="0.25">
      <c r="A21" s="63" t="s">
        <v>206</v>
      </c>
      <c r="B21" s="83">
        <f>B20/B5</f>
        <v>-2.4726800706512581E-2</v>
      </c>
      <c r="C21" s="83">
        <f t="shared" ref="C21:P21" si="11">C20/C5</f>
        <v>1.1038976823595651E-2</v>
      </c>
      <c r="D21" s="83">
        <f t="shared" si="11"/>
        <v>3.7659381539286788E-2</v>
      </c>
      <c r="E21" s="83">
        <f t="shared" si="11"/>
        <v>1.7910025438842958E-2</v>
      </c>
      <c r="F21" s="83">
        <f t="shared" si="11"/>
        <v>3.0787506025145298E-2</v>
      </c>
      <c r="G21" s="83">
        <f t="shared" si="11"/>
        <v>1.5643414786581201E-2</v>
      </c>
      <c r="H21" s="86">
        <f t="shared" si="11"/>
        <v>1.7061026770278799E-2</v>
      </c>
      <c r="I21" s="82">
        <f t="shared" si="11"/>
        <v>8.3320948423051284E-3</v>
      </c>
      <c r="J21" s="82">
        <f t="shared" si="11"/>
        <v>4.2942996278739487E-2</v>
      </c>
      <c r="K21" s="82">
        <f t="shared" si="11"/>
        <v>6.826194245791764E-2</v>
      </c>
      <c r="L21" s="82">
        <f t="shared" si="11"/>
        <v>6.6369092478735486E-2</v>
      </c>
      <c r="M21" s="82">
        <f t="shared" si="11"/>
        <v>6.1861940560583549E-2</v>
      </c>
      <c r="N21" s="82">
        <f t="shared" si="11"/>
        <v>4.4951350848025054E-2</v>
      </c>
      <c r="O21" s="89">
        <f t="shared" si="11"/>
        <v>5.244530666703287E-2</v>
      </c>
      <c r="P21" s="90">
        <f t="shared" si="11"/>
        <v>4.8865506904061079E-2</v>
      </c>
    </row>
    <row r="22" spans="1:16" x14ac:dyDescent="0.25">
      <c r="P22"/>
    </row>
    <row r="23" spans="1:16" x14ac:dyDescent="0.25">
      <c r="P23"/>
    </row>
    <row r="24" spans="1:16" x14ac:dyDescent="0.25">
      <c r="P24"/>
    </row>
    <row r="25" spans="1:16" x14ac:dyDescent="0.25">
      <c r="P25"/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B6B9-CC9A-4AB8-9C81-516BC779AD55}">
  <sheetPr>
    <tabColor rgb="FF92D050"/>
  </sheetPr>
  <dimension ref="A1:T22"/>
  <sheetViews>
    <sheetView showGridLines="0" zoomScale="80" zoomScaleNormal="80" workbookViewId="0">
      <selection activeCell="O15" sqref="O15"/>
    </sheetView>
  </sheetViews>
  <sheetFormatPr defaultRowHeight="15" x14ac:dyDescent="0.25"/>
  <cols>
    <col min="1" max="1" width="13.28515625" bestFit="1" customWidth="1"/>
    <col min="2" max="2" width="14" bestFit="1" customWidth="1"/>
    <col min="3" max="4" width="13.85546875" bestFit="1" customWidth="1"/>
    <col min="6" max="6" width="7.140625" bestFit="1" customWidth="1"/>
    <col min="7" max="7" width="16.85546875" bestFit="1" customWidth="1"/>
    <col min="8" max="8" width="17.5703125" bestFit="1" customWidth="1"/>
    <col min="9" max="9" width="23.42578125" bestFit="1" customWidth="1"/>
    <col min="10" max="10" width="12.42578125" bestFit="1" customWidth="1"/>
    <col min="11" max="11" width="13" bestFit="1" customWidth="1"/>
    <col min="13" max="13" width="7.140625" bestFit="1" customWidth="1"/>
    <col min="14" max="14" width="11" bestFit="1" customWidth="1"/>
    <col min="15" max="15" width="11.5703125" bestFit="1" customWidth="1"/>
    <col min="16" max="16" width="10.28515625" bestFit="1" customWidth="1"/>
    <col min="17" max="17" width="10.28515625" customWidth="1"/>
    <col min="18" max="20" width="9.42578125" bestFit="1" customWidth="1"/>
  </cols>
  <sheetData>
    <row r="1" spans="1:20" ht="18.75" x14ac:dyDescent="0.25">
      <c r="A1" s="132" t="s">
        <v>189</v>
      </c>
      <c r="B1" s="132"/>
      <c r="C1" s="132"/>
      <c r="D1" s="132"/>
      <c r="E1" s="132"/>
      <c r="F1" s="132"/>
      <c r="G1" s="132"/>
      <c r="H1" s="132"/>
    </row>
    <row r="3" spans="1:20" x14ac:dyDescent="0.25">
      <c r="A3" s="22" t="s">
        <v>74</v>
      </c>
      <c r="B3" s="22" t="s">
        <v>190</v>
      </c>
      <c r="C3" s="22" t="s">
        <v>191</v>
      </c>
      <c r="D3" s="22" t="s">
        <v>192</v>
      </c>
      <c r="F3" s="22" t="s">
        <v>74</v>
      </c>
      <c r="G3" s="22" t="s">
        <v>203</v>
      </c>
      <c r="H3" s="22" t="s">
        <v>204</v>
      </c>
      <c r="I3" s="22" t="s">
        <v>205</v>
      </c>
      <c r="J3" s="22" t="s">
        <v>193</v>
      </c>
      <c r="K3" s="22" t="s">
        <v>194</v>
      </c>
      <c r="M3" s="22" t="s">
        <v>74</v>
      </c>
      <c r="N3" s="22" t="s">
        <v>195</v>
      </c>
      <c r="O3" s="22" t="s">
        <v>196</v>
      </c>
      <c r="P3" s="35" t="s">
        <v>197</v>
      </c>
      <c r="Q3" s="35"/>
    </row>
    <row r="4" spans="1:20" x14ac:dyDescent="0.25">
      <c r="A4" t="s">
        <v>198</v>
      </c>
      <c r="B4" s="6" cm="1">
        <f t="array" ref="B4">_xlfn.XLOOKUP(CHARTS!$S4,TRANSPOSE('P&amp;L ACTUALS+EST'!$N$2:$S$2),TRANSPOSE('P&amp;L ACTUALS+EST'!$N$3:$S$3),0)</f>
        <v>18270176.999999996</v>
      </c>
      <c r="C4" s="6" cm="1">
        <f t="array" ref="C4">_xlfn.XLOOKUP(T4,TRANSPOSE('P&amp;L ACTUALS+EST'!$T$2:$Y$2),TRANSPOSE('P&amp;L ACTUALS+EST'!$T$3:$Y$3),0)</f>
        <v>18928135.072498478</v>
      </c>
      <c r="D4" s="6" cm="1">
        <f t="array" ref="D4">_xlfn.XLOOKUP(R4,TRANSPOSE('P&amp;L ACTUALS+EST'!$B$2:$G$2),TRANSPOSE('P&amp;L ACTUALS+EST'!$B$3:$G$3),0)</f>
        <v>17902923.465115197</v>
      </c>
      <c r="F4" t="s">
        <v>198</v>
      </c>
      <c r="G4" s="8" cm="1">
        <f t="array" ref="G4:G9">TRANSPOSE('KPI TRENDS'!B7:G7)</f>
        <v>0.38804709338602394</v>
      </c>
      <c r="H4" s="8" cm="1">
        <f t="array" ref="H4:H9">TRANSPOSE('KPI TRENDS'!I7:N7)</f>
        <v>0.3988176412576373</v>
      </c>
      <c r="I4" s="8" cm="1">
        <f t="array" ref="I4:I9">TRANSPOSE('KPI TRENDS'!B13:G13)</f>
        <v>0.10516047220462767</v>
      </c>
      <c r="J4" s="8" cm="1">
        <f t="array" ref="J4:J9">TRANSPOSE('KPI TRENDS'!B21:G21)</f>
        <v>-2.4726800706512581E-2</v>
      </c>
      <c r="K4" s="8" cm="1">
        <f t="array" ref="K4:K9">TRANSPOSE('KPI TRENDS'!I21:N21
)</f>
        <v>8.3320948423051284E-3</v>
      </c>
      <c r="M4" t="s">
        <v>198</v>
      </c>
      <c r="N4" s="6" cm="1">
        <f t="array" ref="N4:N9">TRANSPOSE('KPI TRENDS'!B20:G20)</f>
        <v>-451763.02555170981</v>
      </c>
      <c r="O4" s="6" cm="1">
        <f t="array" ref="O4:O9">TRANSPOSE('KPI TRENDS'!I20:N20)</f>
        <v>157711.01661201939</v>
      </c>
      <c r="P4" s="6" cm="1">
        <f t="array" ref="P4:P9">TRANSPOSE('P&amp;L ACTUALS+EST'!B18:G18)</f>
        <v>13028.879961256869</v>
      </c>
      <c r="Q4" s="6"/>
      <c r="R4" s="91" t="s">
        <v>142</v>
      </c>
      <c r="S4" s="91" t="s">
        <v>141</v>
      </c>
      <c r="T4" s="91" t="s">
        <v>143</v>
      </c>
    </row>
    <row r="5" spans="1:20" x14ac:dyDescent="0.25">
      <c r="A5" t="s">
        <v>199</v>
      </c>
      <c r="B5" s="6" cm="1">
        <f t="array" ref="B5">_xlfn.XLOOKUP(CHARTS!$S5,TRANSPOSE('P&amp;L ACTUALS+EST'!$N$2:$S$2),TRANSPOSE('P&amp;L ACTUALS+EST'!$N$3:$S$3),0)</f>
        <v>24091844.500000004</v>
      </c>
      <c r="C5" s="6" cm="1">
        <f t="array" ref="C5">_xlfn.XLOOKUP(T5,TRANSPOSE('P&amp;L ACTUALS+EST'!$T$2:$Y$2),TRANSPOSE('P&amp;L ACTUALS+EST'!$T$3:$Y$3),0)</f>
        <v>24920142.093276463</v>
      </c>
      <c r="D5" s="6" cm="1">
        <f t="array" ref="D5">_xlfn.XLOOKUP(R5,TRANSPOSE('P&amp;L ACTUALS+EST'!$B$2:$G$2),TRANSPOSE('P&amp;L ACTUALS+EST'!$B$3:$G$3),0)</f>
        <v>23598619.406511802</v>
      </c>
      <c r="F5" t="s">
        <v>199</v>
      </c>
      <c r="G5" s="8">
        <v>0.38941423082500465</v>
      </c>
      <c r="H5" s="8">
        <v>0.40045798235806329</v>
      </c>
      <c r="I5" s="8">
        <v>0.10886367061895669</v>
      </c>
      <c r="J5" s="8">
        <v>1.1038976823595651E-2</v>
      </c>
      <c r="K5" s="8">
        <v>4.2942996278739487E-2</v>
      </c>
      <c r="M5" t="s">
        <v>199</v>
      </c>
      <c r="N5" s="6">
        <v>265949.31307317037</v>
      </c>
      <c r="O5" s="6">
        <v>1070145.5691772304</v>
      </c>
      <c r="P5" s="6">
        <v>873043.62891762005</v>
      </c>
      <c r="Q5" s="6"/>
      <c r="R5" s="91" t="s">
        <v>145</v>
      </c>
      <c r="S5" s="91" t="s">
        <v>144</v>
      </c>
      <c r="T5" s="91" t="s">
        <v>146</v>
      </c>
    </row>
    <row r="6" spans="1:20" x14ac:dyDescent="0.25">
      <c r="A6" t="s">
        <v>200</v>
      </c>
      <c r="B6" s="6" cm="1">
        <f t="array" ref="B6">_xlfn.XLOOKUP(CHARTS!$S6,TRANSPOSE('P&amp;L ACTUALS+EST'!$N$2:$S$2),TRANSPOSE('P&amp;L ACTUALS+EST'!$N$3:$S$3),0)</f>
        <v>29060427.939999994</v>
      </c>
      <c r="C6" s="6" cm="1">
        <f t="array" ref="C6">_xlfn.XLOOKUP(T6,TRANSPOSE('P&amp;L ACTUALS+EST'!$T$2:$Y$2),TRANSPOSE('P&amp;L ACTUALS+EST'!$T$3:$Y$3),0)</f>
        <v>33841465.42255</v>
      </c>
      <c r="D6" s="6" cm="1">
        <f t="array" ref="D6">_xlfn.XLOOKUP(R6,TRANSPOSE('P&amp;L ACTUALS+EST'!$B$2:$G$2),TRANSPOSE('P&amp;L ACTUALS+EST'!$B$3:$G$3),0)</f>
        <v>32077218.41</v>
      </c>
      <c r="F6" t="s">
        <v>200</v>
      </c>
      <c r="G6" s="8">
        <v>0.39371633619109131</v>
      </c>
      <c r="H6" s="8">
        <v>0.39939364197591398</v>
      </c>
      <c r="I6" s="8">
        <v>0.1223973779771752</v>
      </c>
      <c r="J6" s="8">
        <v>3.7659381539286788E-2</v>
      </c>
      <c r="K6" s="8">
        <v>6.826194245791764E-2</v>
      </c>
      <c r="M6" t="s">
        <v>200</v>
      </c>
      <c r="N6" s="6">
        <v>1094397.7434874098</v>
      </c>
      <c r="O6" s="6">
        <v>2310084.1653657174</v>
      </c>
      <c r="P6" s="6">
        <v>2110234.731094724</v>
      </c>
      <c r="Q6" s="6"/>
      <c r="R6" s="91" t="s">
        <v>148</v>
      </c>
      <c r="S6" s="91" t="s">
        <v>147</v>
      </c>
      <c r="T6" s="91" t="s">
        <v>149</v>
      </c>
    </row>
    <row r="7" spans="1:20" x14ac:dyDescent="0.25">
      <c r="A7" t="s">
        <v>201</v>
      </c>
      <c r="B7" s="6" cm="1">
        <f t="array" ref="B7">_xlfn.XLOOKUP(CHARTS!$S7,TRANSPOSE('P&amp;L ACTUALS+EST'!$N$2:$S$2),TRANSPOSE('P&amp;L ACTUALS+EST'!$N$3:$S$3),0)</f>
        <v>21989688.709999997</v>
      </c>
      <c r="C7" s="6" cm="1">
        <f t="array" ref="C7">_xlfn.XLOOKUP(T7,TRANSPOSE('P&amp;L ACTUALS+EST'!$T$2:$Y$2),TRANSPOSE('P&amp;L ACTUALS+EST'!$T$3:$Y$3),0)</f>
        <v>31628224.583339993</v>
      </c>
      <c r="D7" s="6" cm="1">
        <f t="array" ref="D7">_xlfn.XLOOKUP(R7,TRANSPOSE('P&amp;L ACTUALS+EST'!$B$2:$G$2),TRANSPOSE('P&amp;L ACTUALS+EST'!$B$3:$G$3),0)</f>
        <v>30007803.209999993</v>
      </c>
      <c r="F7" t="s">
        <v>201</v>
      </c>
      <c r="G7" s="8">
        <v>0.39589160670623541</v>
      </c>
      <c r="H7" s="8">
        <v>0.4000570971396572</v>
      </c>
      <c r="I7" s="8">
        <v>0.12671120172024869</v>
      </c>
      <c r="J7" s="8">
        <v>1.7910025438842958E-2</v>
      </c>
      <c r="K7" s="8">
        <v>6.6369092478735486E-2</v>
      </c>
      <c r="M7" t="s">
        <v>201</v>
      </c>
      <c r="N7" s="6">
        <v>393835.88418833772</v>
      </c>
      <c r="O7" s="6">
        <v>2099136.5623099073</v>
      </c>
      <c r="P7" s="6">
        <v>2009575.9696349567</v>
      </c>
      <c r="Q7" s="6"/>
      <c r="R7" s="91" t="s">
        <v>151</v>
      </c>
      <c r="S7" s="91" t="s">
        <v>150</v>
      </c>
      <c r="T7" s="91" t="s">
        <v>152</v>
      </c>
    </row>
    <row r="8" spans="1:20" x14ac:dyDescent="0.25">
      <c r="A8" t="s">
        <v>5</v>
      </c>
      <c r="B8" s="6" cm="1">
        <f t="array" ref="B8">_xlfn.XLOOKUP(CHARTS!$S8,TRANSPOSE('P&amp;L ACTUALS+EST'!$N$2:$S$2),TRANSPOSE('P&amp;L ACTUALS+EST'!$N$3:$S$3),0)</f>
        <v>23404056.190000001</v>
      </c>
      <c r="C8" s="6" cm="1">
        <f t="array" ref="C8">_xlfn.XLOOKUP(T8,TRANSPOSE('P&amp;L ACTUALS+EST'!$T$2:$Y$2),TRANSPOSE('P&amp;L ACTUALS+EST'!$T$3:$Y$3),0)</f>
        <v>28396608.206160001</v>
      </c>
      <c r="D8" s="6" cm="1">
        <f t="array" ref="D8">_xlfn.XLOOKUP(R8,TRANSPOSE('P&amp;L ACTUALS+EST'!$B$2:$G$2),TRANSPOSE('P&amp;L ACTUALS+EST'!$B$3:$G$3),0)</f>
        <v>26992973.580000002</v>
      </c>
      <c r="F8" t="s">
        <v>5</v>
      </c>
      <c r="G8" s="8">
        <v>0.39790842797974774</v>
      </c>
      <c r="H8" s="8">
        <v>0.39942489894743927</v>
      </c>
      <c r="I8" s="8">
        <v>0.12883480066238251</v>
      </c>
      <c r="J8" s="8">
        <v>3.0787506025145298E-2</v>
      </c>
      <c r="K8" s="8">
        <v>6.1861940560583549E-2</v>
      </c>
      <c r="M8" t="s">
        <v>5</v>
      </c>
      <c r="N8" s="6">
        <v>720552.52096246416</v>
      </c>
      <c r="O8" s="6">
        <v>1756669.288971649</v>
      </c>
      <c r="P8" s="6">
        <v>1600280.8199710157</v>
      </c>
      <c r="Q8" s="6"/>
      <c r="R8" s="91" t="s">
        <v>154</v>
      </c>
      <c r="S8" s="91" t="s">
        <v>153</v>
      </c>
      <c r="T8" s="91" t="s">
        <v>155</v>
      </c>
    </row>
    <row r="9" spans="1:20" x14ac:dyDescent="0.25">
      <c r="A9" t="s">
        <v>202</v>
      </c>
      <c r="B9" s="6" cm="1">
        <f t="array" ref="B9">_xlfn.XLOOKUP(CHARTS!$S9,TRANSPOSE('P&amp;L ACTUALS+EST'!$N$2:$S$2),TRANSPOSE('P&amp;L ACTUALS+EST'!$N$3:$S$3),0)</f>
        <v>21139929.449999999</v>
      </c>
      <c r="C9" s="6" cm="1">
        <f t="array" ref="C9">_xlfn.XLOOKUP(T9,TRANSPOSE('P&amp;L ACTUALS+EST'!$T$2:$Y$2),TRANSPOSE('P&amp;L ACTUALS+EST'!$T$3:$Y$3),0)</f>
        <v>22853546.025970001</v>
      </c>
      <c r="D9" s="6" cm="1">
        <f t="array" ref="D9">_xlfn.XLOOKUP(R9,TRANSPOSE('P&amp;L ACTUALS+EST'!$B$2:$G$2),TRANSPOSE('P&amp;L ACTUALS+EST'!$B$3:$G$3),0)</f>
        <v>21786030.530000001</v>
      </c>
      <c r="F9" t="s">
        <v>202</v>
      </c>
      <c r="G9" s="8">
        <v>0.39233102484450805</v>
      </c>
      <c r="H9" s="8">
        <v>0.39926530407257582</v>
      </c>
      <c r="I9" s="8">
        <v>0.12488072044226201</v>
      </c>
      <c r="J9" s="8">
        <v>1.5643414786581201E-2</v>
      </c>
      <c r="K9" s="8">
        <v>4.4951350848025054E-2</v>
      </c>
      <c r="M9" t="s">
        <v>202</v>
      </c>
      <c r="N9" s="6">
        <v>330700.68494541338</v>
      </c>
      <c r="O9" s="6">
        <v>1027297.7655348661</v>
      </c>
      <c r="P9" s="6">
        <v>839256.7148644221</v>
      </c>
      <c r="Q9" s="6"/>
      <c r="R9" s="91" t="s">
        <v>157</v>
      </c>
      <c r="S9" s="91" t="s">
        <v>156</v>
      </c>
      <c r="T9" s="91" t="s">
        <v>158</v>
      </c>
    </row>
    <row r="12" spans="1:20" x14ac:dyDescent="0.25">
      <c r="A12" s="22" t="s">
        <v>207</v>
      </c>
      <c r="B12" s="22" t="s">
        <v>124</v>
      </c>
      <c r="C12" s="22" t="s">
        <v>134</v>
      </c>
      <c r="D12" s="22" t="s">
        <v>125</v>
      </c>
    </row>
    <row r="13" spans="1:20" x14ac:dyDescent="0.25">
      <c r="A13" t="s">
        <v>15</v>
      </c>
      <c r="B13" s="6">
        <f>_xlfn.XLOOKUP($A13,'P&amp;L MONTHLY'!$A$6:$A$24,'P&amp;L MONTHLY'!AF$6:AF$24)</f>
        <v>-83731107.810153112</v>
      </c>
      <c r="C13" s="6">
        <f>_xlfn.XLOOKUP(A13,'P&amp;L MONTHLY'!$A$6:$A$24,'P&amp;L MONTHLY'!$AH$6:$AH$24)</f>
        <v>-96403675.192228049</v>
      </c>
      <c r="D13" s="6">
        <f>_xlfn.XLOOKUP(A13,'P&amp;L MONTHLY'!$A$6:$A$24,'P&amp;L MONTHLY'!$AG$6:$AG$24)</f>
        <v>-93211921.837408021</v>
      </c>
    </row>
    <row r="14" spans="1:20" x14ac:dyDescent="0.25">
      <c r="A14" s="6" t="s">
        <v>25</v>
      </c>
      <c r="B14" s="6">
        <f>_xlfn.XLOOKUP($A14,'P&amp;L MONTHLY'!$A$6:$A$24,'P&amp;L MONTHLY'!AF$6:AF$24)</f>
        <v>-3079470.6885105427</v>
      </c>
      <c r="C14" s="6">
        <f>_xlfn.XLOOKUP(A14,'P&amp;L MONTHLY'!$A$6:$A$24,'P&amp;L MONTHLY'!$AH$6:$AH$24)</f>
        <v>-3613210.999882346</v>
      </c>
      <c r="D14" s="6">
        <f>_xlfn.XLOOKUP(A14,'P&amp;L MONTHLY'!$A$6:$A$24,'P&amp;L MONTHLY'!$AG$6:$AG$24)</f>
        <v>-3253387.1888767583</v>
      </c>
    </row>
    <row r="15" spans="1:20" x14ac:dyDescent="0.25">
      <c r="A15" s="6" t="s">
        <v>208</v>
      </c>
      <c r="B15" s="6">
        <f>_xlfn.XLOOKUP($A15,'P&amp;L MONTHLY'!$A$6:$A$24,'P&amp;L MONTHLY'!AF$6:AF$24)</f>
        <v>-13273834.44339384</v>
      </c>
      <c r="C15" s="6">
        <f>_xlfn.XLOOKUP(A15,'P&amp;L MONTHLY'!$A$6:$A$24,'P&amp;L MONTHLY'!$AH$6:$AH$24)</f>
        <v>-13439458.566757096</v>
      </c>
      <c r="D15" s="6">
        <f>_xlfn.XLOOKUP(A15,'P&amp;L MONTHLY'!$A$6:$A$24,'P&amp;L MONTHLY'!$AG$6:$AG$24)</f>
        <v>-11867421.762018304</v>
      </c>
    </row>
    <row r="16" spans="1:20" x14ac:dyDescent="0.25">
      <c r="A16" s="6" t="s">
        <v>27</v>
      </c>
      <c r="B16" s="6">
        <f>_xlfn.XLOOKUP($A16,'P&amp;L MONTHLY'!$A$6:$A$24,'P&amp;L MONTHLY'!AF$6:AF$24)</f>
        <v>-21329197.184715871</v>
      </c>
      <c r="C16" s="6">
        <f>_xlfn.XLOOKUP(A16,'P&amp;L MONTHLY'!$A$6:$A$24,'P&amp;L MONTHLY'!$AH$6:$AH$24)</f>
        <v>-24174954.809380297</v>
      </c>
      <c r="D16" s="6">
        <f>_xlfn.XLOOKUP(A16,'P&amp;L MONTHLY'!$A$6:$A$24,'P&amp;L MONTHLY'!$AG$6:$AG$24)</f>
        <v>-22274812.902849242</v>
      </c>
    </row>
    <row r="17" spans="1:4" x14ac:dyDescent="0.25">
      <c r="A17" s="6" t="s">
        <v>100</v>
      </c>
      <c r="B17" s="6">
        <f>_xlfn.XLOOKUP($A17,'P&amp;L MONTHLY'!$A$6:$A$24,'P&amp;L MONTHLY'!AF$6:AF$24)</f>
        <v>-9527315.8724066876</v>
      </c>
      <c r="C17" s="6">
        <f>_xlfn.XLOOKUP(A17,'P&amp;L MONTHLY'!$A$6:$A$24,'P&amp;L MONTHLY'!$AH$6:$AH$24)</f>
        <v>-9238451.3898776099</v>
      </c>
      <c r="D17" s="6">
        <f>_xlfn.XLOOKUP(A17,'P&amp;L MONTHLY'!$A$6:$A$24,'P&amp;L MONTHLY'!$AG$6:$AG$24)</f>
        <v>-9317889.7106227968</v>
      </c>
    </row>
    <row r="18" spans="1:4" x14ac:dyDescent="0.25">
      <c r="A18" s="6" t="s">
        <v>17</v>
      </c>
      <c r="B18" s="6">
        <f>_xlfn.XLOOKUP($A18,'P&amp;L MONTHLY'!$A$6:$A$24,'P&amp;L MONTHLY'!AF$6:AF$24)</f>
        <v>-3636847.2507738476</v>
      </c>
      <c r="C18" s="6">
        <f>_xlfn.XLOOKUP(A18,'P&amp;L MONTHLY'!$A$6:$A$24,'P&amp;L MONTHLY'!$AH$6:$AH$24)</f>
        <v>-4208543.5805292074</v>
      </c>
      <c r="D18" s="6">
        <f>_xlfn.XLOOKUP(A18,'P&amp;L MONTHLY'!$A$6:$A$24,'P&amp;L MONTHLY'!$AG$6:$AG$24)</f>
        <v>-3933218.2995600067</v>
      </c>
    </row>
    <row r="19" spans="1:4" x14ac:dyDescent="0.25">
      <c r="A19" s="6" t="s">
        <v>209</v>
      </c>
      <c r="B19" s="6">
        <f>_xlfn.XLOOKUP($A19,'P&amp;L MONTHLY'!$A$6:$A$24,'P&amp;L MONTHLY'!AF$6:AF$24)</f>
        <v>-580666.73979600007</v>
      </c>
      <c r="C19" s="6">
        <f>_xlfn.XLOOKUP(A19,'P&amp;L MONTHLY'!$A$6:$A$24,'P&amp;L MONTHLY'!$AH$6:$AH$24)</f>
        <v>-592019.82582718262</v>
      </c>
      <c r="D19" s="6">
        <f>_xlfn.XLOOKUP(A19,'P&amp;L MONTHLY'!$A$6:$A$24,'P&amp;L MONTHLY'!$AG$6:$AG$24)</f>
        <v>-586158.24339325016</v>
      </c>
    </row>
    <row r="20" spans="1:4" x14ac:dyDescent="0.25">
      <c r="A20" s="6" t="s">
        <v>210</v>
      </c>
      <c r="B20" s="6">
        <f>_xlfn.XLOOKUP($A20,'P&amp;L MONTHLY'!$A$6:$A$24,'P&amp;L MONTHLY'!AF$6:AF$24)</f>
        <v>-29259.078849000005</v>
      </c>
      <c r="C20" s="6">
        <f>_xlfn.XLOOKUP(A20,'P&amp;L MONTHLY'!$A$6:$A$24,'P&amp;L MONTHLY'!$AH$6:$AH$24)</f>
        <v>-46990.113993077081</v>
      </c>
      <c r="D20" s="6">
        <f>_xlfn.XLOOKUP(A20,'P&amp;L MONTHLY'!$A$6:$A$24,'P&amp;L MONTHLY'!$AG$6:$AG$24)</f>
        <v>-40591.827226500005</v>
      </c>
    </row>
    <row r="21" spans="1:4" x14ac:dyDescent="0.25">
      <c r="A21" s="6" t="s">
        <v>22</v>
      </c>
      <c r="B21" s="6">
        <f>_xlfn.XLOOKUP($A21,'P&amp;L MONTHLY'!$A$6:$A$24,'P&amp;L MONTHLY'!AF$6:AF$24)</f>
        <v>-91336.748481000031</v>
      </c>
      <c r="C21" s="6">
        <f>_xlfn.XLOOKUP(A21,'P&amp;L MONTHLY'!$A$6:$A$24,'P&amp;L MONTHLY'!$AH$6:$AH$24)</f>
        <v>-97242.740452000027</v>
      </c>
      <c r="D21" s="6">
        <f>_xlfn.XLOOKUP(A21,'P&amp;L MONTHLY'!$A$6:$A$24,'P&amp;L MONTHLY'!$AG$6:$AG$24)</f>
        <v>-118051.02151700003</v>
      </c>
    </row>
    <row r="22" spans="1:4" x14ac:dyDescent="0.25">
      <c r="A22" s="6" t="s">
        <v>20</v>
      </c>
      <c r="B22" s="6">
        <f>_xlfn.XLOOKUP($A22,'P&amp;L MONTHLY'!$A$6:$A$24,'P&amp;L MONTHLY'!AF$6:AF$24)</f>
        <v>-323414.85181500006</v>
      </c>
      <c r="C22" s="6">
        <f>_xlfn.XLOOKUP(A22,'P&amp;L MONTHLY'!$A$6:$A$24,'P&amp;L MONTHLY'!$AH$6:$AH$24)</f>
        <v>-332529.81689668132</v>
      </c>
      <c r="D22" s="6">
        <f>_xlfn.XLOOKUP(A22,'P&amp;L MONTHLY'!$A$6:$A$24,'P&amp;L MONTHLY'!$AG$6:$AG$24)</f>
        <v>-316695.06371112505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CA8B-2369-4BD9-80FA-674CCA97A071}">
  <sheetPr>
    <tabColor rgb="FF92D050"/>
  </sheetPr>
  <dimension ref="A1:J35"/>
  <sheetViews>
    <sheetView showGridLines="0" zoomScale="115" zoomScaleNormal="115" workbookViewId="0">
      <selection activeCell="H19" sqref="H19"/>
    </sheetView>
  </sheetViews>
  <sheetFormatPr defaultRowHeight="12.75" x14ac:dyDescent="0.2"/>
  <cols>
    <col min="1" max="1" width="15.7109375" style="106" bestFit="1" customWidth="1"/>
    <col min="2" max="4" width="14.42578125" style="106" bestFit="1" customWidth="1"/>
    <col min="5" max="5" width="13.85546875" style="106" bestFit="1" customWidth="1"/>
    <col min="6" max="6" width="11.85546875" style="106" bestFit="1" customWidth="1"/>
    <col min="7" max="16384" width="9.140625" style="106"/>
  </cols>
  <sheetData>
    <row r="1" spans="1:10" ht="15" x14ac:dyDescent="0.25">
      <c r="A1" s="135" t="s">
        <v>211</v>
      </c>
      <c r="B1" s="135"/>
      <c r="C1" s="135"/>
      <c r="D1" s="135"/>
      <c r="E1" s="135"/>
      <c r="F1" s="135"/>
      <c r="G1"/>
      <c r="H1"/>
      <c r="I1"/>
      <c r="J1"/>
    </row>
    <row r="2" spans="1:10" ht="13.5" thickBot="1" x14ac:dyDescent="0.25"/>
    <row r="3" spans="1:10" ht="13.5" thickBot="1" x14ac:dyDescent="0.25">
      <c r="A3" s="105" t="s">
        <v>213</v>
      </c>
      <c r="B3" s="107" t="s">
        <v>124</v>
      </c>
      <c r="C3" s="107" t="s">
        <v>125</v>
      </c>
      <c r="D3" s="107" t="s">
        <v>134</v>
      </c>
      <c r="E3" s="107" t="s">
        <v>214</v>
      </c>
      <c r="F3" s="108" t="s">
        <v>126</v>
      </c>
    </row>
    <row r="4" spans="1:10" x14ac:dyDescent="0.2">
      <c r="A4" s="109" t="s">
        <v>14</v>
      </c>
      <c r="B4" s="110">
        <f>INDEX('P&amp;L MONTHLY'!$AF$6:$AJ$24,MATCH(COMMENTS!$A4,'P&amp;L MONTHLY'!$A$6:$A$24,0),MATCH(COMMENTS!B$3,'P&amp;L MONTHLY'!$AF$5:$AJ$5,0))</f>
        <v>137956123.78999999</v>
      </c>
      <c r="C4" s="110">
        <f>INDEX('P&amp;L MONTHLY'!$AF$6:$AJ$24,MATCH(COMMENTS!$A4,'P&amp;L MONTHLY'!$A$6:$A$24,0),MATCH(COMMENTS!C$3,'P&amp;L MONTHLY'!$AF$5:$AJ$5,0))</f>
        <v>152365568.60162699</v>
      </c>
      <c r="D4" s="110">
        <f>INDEX('P&amp;L MONTHLY'!$AF$6:$AJ$24,MATCH(COMMENTS!$A4,'P&amp;L MONTHLY'!$A$6:$A$24,0),MATCH(COMMENTS!D$3,'P&amp;L MONTHLY'!$AF$5:$AJ$5,0))</f>
        <v>160568121.40379494</v>
      </c>
      <c r="E4" s="110">
        <f>INDEX('P&amp;L MONTHLY'!$AF$6:$AJ$24,MATCH(COMMENTS!$A4,'P&amp;L MONTHLY'!$A$6:$A$24,0),MATCH(COMMENTS!E$3,'P&amp;L MONTHLY'!$AF$5:$AJ$5,0))</f>
        <v>-14409444.811627001</v>
      </c>
      <c r="F4" s="111">
        <f>INDEX('P&amp;L MONTHLY'!$AF$6:$AJ$24,MATCH(COMMENTS!$A4,'P&amp;L MONTHLY'!$A$6:$A$24,0),MATCH(COMMENTS!F$3,'P&amp;L MONTHLY'!$AF$5:$AJ$5,0))</f>
        <v>-0.14082494966065243</v>
      </c>
    </row>
    <row r="5" spans="1:10" x14ac:dyDescent="0.2">
      <c r="A5" s="109" t="s">
        <v>16</v>
      </c>
      <c r="B5" s="110">
        <f>INDEX('P&amp;L MONTHLY'!$AF$6:$AJ$24,MATCH(COMMENTS!$A5,'P&amp;L MONTHLY'!$A$6:$A$24,0),MATCH(COMMENTS!B$3,'P&amp;L MONTHLY'!$AF$5:$AJ$5,0))</f>
        <v>54225015.979846872</v>
      </c>
      <c r="C5" s="110">
        <f>INDEX('P&amp;L MONTHLY'!$AF$6:$AJ$24,MATCH(COMMENTS!$A5,'P&amp;L MONTHLY'!$A$6:$A$24,0),MATCH(COMMENTS!C$3,'P&amp;L MONTHLY'!$AF$5:$AJ$5,0))</f>
        <v>59153646.764218979</v>
      </c>
      <c r="D5" s="110">
        <f>INDEX('P&amp;L MONTHLY'!$AF$6:$AJ$24,MATCH(COMMENTS!$A5,'P&amp;L MONTHLY'!$A$6:$A$24,0),MATCH(COMMENTS!D$3,'P&amp;L MONTHLY'!$AF$5:$AJ$5,0))</f>
        <v>64164446.211566888</v>
      </c>
      <c r="E5" s="110">
        <f>INDEX('P&amp;L MONTHLY'!$AF$6:$AJ$24,MATCH(COMMENTS!$A5,'P&amp;L MONTHLY'!$A$6:$A$24,0),MATCH(COMMENTS!E$3,'P&amp;L MONTHLY'!$AF$5:$AJ$5,0))</f>
        <v>-4928630.7843721062</v>
      </c>
      <c r="F5" s="111">
        <f>INDEX('P&amp;L MONTHLY'!$AF$6:$AJ$24,MATCH(COMMENTS!$A5,'P&amp;L MONTHLY'!$A$6:$A$24,0),MATCH(COMMENTS!F$3,'P&amp;L MONTHLY'!$AF$5:$AJ$5,0))</f>
        <v>-0.15490557183252429</v>
      </c>
    </row>
    <row r="6" spans="1:10" x14ac:dyDescent="0.2">
      <c r="A6" s="109" t="s">
        <v>212</v>
      </c>
      <c r="B6" s="112">
        <f>INDEX('P&amp;L MONTHLY'!$AF$6:$AJ$24,MATCH(COMMENTS!$A6,'P&amp;L MONTHLY'!$A$6:$A$24,0),MATCH(COMMENTS!B$3,'P&amp;L MONTHLY'!$AF$5:$AJ$5,0))</f>
        <v>0.39305986925516584</v>
      </c>
      <c r="C6" s="112">
        <f>INDEX('P&amp;L MONTHLY'!$AF$6:$AJ$24,MATCH(COMMENTS!$A6,'P&amp;L MONTHLY'!$A$6:$A$24,0),MATCH(COMMENTS!C$3,'P&amp;L MONTHLY'!$AF$5:$AJ$5,0))</f>
        <v>0.38823500156312429</v>
      </c>
      <c r="D6" s="112">
        <f>INDEX('P&amp;L MONTHLY'!$AF$6:$AJ$24,MATCH(COMMENTS!$A6,'P&amp;L MONTHLY'!$A$6:$A$24,0),MATCH(COMMENTS!D$3,'P&amp;L MONTHLY'!$AF$5:$AJ$5,0))</f>
        <v>0.39960887410650364</v>
      </c>
      <c r="E6" s="112">
        <f>INDEX('P&amp;L MONTHLY'!$AF$6:$AJ$24,MATCH(COMMENTS!$A6,'P&amp;L MONTHLY'!$A$6:$A$24,0),MATCH(COMMENTS!E$3,'P&amp;L MONTHLY'!$AF$5:$AJ$5,0))</f>
        <v>-6.549004851337803E-3</v>
      </c>
      <c r="F6" s="111">
        <f>INDEX('P&amp;L MONTHLY'!$AF$6:$AJ$24,MATCH(COMMENTS!$A6,'P&amp;L MONTHLY'!$A$6:$A$24,0),MATCH(COMMENTS!F$3,'P&amp;L MONTHLY'!$AF$5:$AJ$5,0))</f>
        <v>-1.6388537081367126E-2</v>
      </c>
    </row>
    <row r="7" spans="1:10" x14ac:dyDescent="0.2">
      <c r="A7" s="109" t="s">
        <v>123</v>
      </c>
      <c r="B7" s="110">
        <f>INDEX('P&amp;L MONTHLY'!$AF$6:$AJ$24,MATCH(COMMENTS!$A7,'P&amp;L MONTHLY'!$A$6:$A$24,0),MATCH(COMMENTS!B$3,'P&amp;L MONTHLY'!$AF$5:$AJ$5,0))</f>
        <v>16542513.663226619</v>
      </c>
      <c r="C7" s="110">
        <f>INDEX('P&amp;L MONTHLY'!$AF$6:$AJ$24,MATCH(COMMENTS!$A7,'P&amp;L MONTHLY'!$A$6:$A$24,0),MATCH(COMMENTS!C$3,'P&amp;L MONTHLY'!$AF$5:$AJ$5,0))</f>
        <v>21758024.910474673</v>
      </c>
      <c r="D7" s="110">
        <f>INDEX('P&amp;L MONTHLY'!$AF$6:$AJ$24,MATCH(COMMENTS!$A7,'P&amp;L MONTHLY'!$A$6:$A$24,0),MATCH(COMMENTS!D$3,'P&amp;L MONTHLY'!$AF$5:$AJ$5,0))</f>
        <v>22936821.835547149</v>
      </c>
      <c r="E7" s="110">
        <f>INDEX('P&amp;L MONTHLY'!$AF$6:$AJ$24,MATCH(COMMENTS!$A7,'P&amp;L MONTHLY'!$A$6:$A$24,0),MATCH(COMMENTS!E$3,'P&amp;L MONTHLY'!$AF$5:$AJ$5,0))</f>
        <v>-5215511.2472480536</v>
      </c>
      <c r="F7" s="111">
        <f>INDEX('P&amp;L MONTHLY'!$AF$6:$AJ$24,MATCH(COMMENTS!$A7,'P&amp;L MONTHLY'!$A$6:$A$24,0),MATCH(COMMENTS!F$3,'P&amp;L MONTHLY'!$AF$5:$AJ$5,0))</f>
        <v>-0.27877917080956371</v>
      </c>
    </row>
    <row r="8" spans="1:10" x14ac:dyDescent="0.2">
      <c r="A8" s="109" t="s">
        <v>23</v>
      </c>
      <c r="B8" s="110">
        <f>INDEX('P&amp;L MONTHLY'!$AF$6:$AJ$24,MATCH(COMMENTS!$A8,'P&amp;L MONTHLY'!$A$6:$A$24,0),MATCH(COMMENTS!B$3,'P&amp;L MONTHLY'!$AF$5:$AJ$5,0))</f>
        <v>-14188840.542121533</v>
      </c>
      <c r="C8" s="110">
        <f>INDEX('P&amp;L MONTHLY'!$AF$6:$AJ$24,MATCH(COMMENTS!$A8,'P&amp;L MONTHLY'!$A$6:$A$24,0),MATCH(COMMENTS!C$3,'P&amp;L MONTHLY'!$AF$5:$AJ$5,0))</f>
        <v>-14312604.166030681</v>
      </c>
      <c r="D8" s="110">
        <f>INDEX('P&amp;L MONTHLY'!$AF$6:$AJ$24,MATCH(COMMENTS!$A8,'P&amp;L MONTHLY'!$A$6:$A$24,0),MATCH(COMMENTS!D$3,'P&amp;L MONTHLY'!$AF$5:$AJ$5,0))</f>
        <v>-14515777.467575757</v>
      </c>
      <c r="E8" s="110">
        <f>INDEX('P&amp;L MONTHLY'!$AF$6:$AJ$24,MATCH(COMMENTS!$A8,'P&amp;L MONTHLY'!$A$6:$A$24,0),MATCH(COMMENTS!E$3,'P&amp;L MONTHLY'!$AF$5:$AJ$5,0))</f>
        <v>123763.62390914746</v>
      </c>
      <c r="F8" s="111">
        <f>INDEX('P&amp;L MONTHLY'!$AF$6:$AJ$24,MATCH(COMMENTS!$A8,'P&amp;L MONTHLY'!$A$6:$A$24,0),MATCH(COMMENTS!F$3,'P&amp;L MONTHLY'!$AF$5:$AJ$5,0))</f>
        <v>-2.2522867010362376E-2</v>
      </c>
    </row>
    <row r="9" spans="1:10" x14ac:dyDescent="0.2">
      <c r="A9" s="109" t="s">
        <v>24</v>
      </c>
      <c r="B9" s="110">
        <f>INDEX('P&amp;L MONTHLY'!$AF$6:$AJ$24,MATCH(COMMENTS!$A9,'P&amp;L MONTHLY'!$A$6:$A$24,0),MATCH(COMMENTS!B$3,'P&amp;L MONTHLY'!$AF$5:$AJ$5,0))</f>
        <v>2353673.1211050856</v>
      </c>
      <c r="C9" s="110">
        <f>INDEX('P&amp;L MONTHLY'!$AF$6:$AJ$24,MATCH(COMMENTS!$A9,'P&amp;L MONTHLY'!$A$6:$A$24,0),MATCH(COMMENTS!C$3,'P&amp;L MONTHLY'!$AF$5:$AJ$5,0))</f>
        <v>7445420.7444439959</v>
      </c>
      <c r="D9" s="110">
        <f>INDEX('P&amp;L MONTHLY'!$AF$6:$AJ$24,MATCH(COMMENTS!$A9,'P&amp;L MONTHLY'!$A$6:$A$24,0),MATCH(COMMENTS!D$3,'P&amp;L MONTHLY'!$AF$5:$AJ$5,0))</f>
        <v>8421044.3679713905</v>
      </c>
      <c r="E9" s="110">
        <f>INDEX('P&amp;L MONTHLY'!$AF$6:$AJ$24,MATCH(COMMENTS!$A9,'P&amp;L MONTHLY'!$A$6:$A$24,0),MATCH(COMMENTS!E$3,'P&amp;L MONTHLY'!$AF$5:$AJ$5,0))</f>
        <v>-5091747.6233389098</v>
      </c>
      <c r="F9" s="111">
        <f>INDEX('P&amp;L MONTHLY'!$AF$6:$AJ$24,MATCH(COMMENTS!$A9,'P&amp;L MONTHLY'!$A$6:$A$24,0),MATCH(COMMENTS!F$3,'P&amp;L MONTHLY'!$AF$5:$AJ$5,0))</f>
        <v>-0.72050104259549452</v>
      </c>
    </row>
    <row r="10" spans="1:10" ht="13.5" thickBot="1" x14ac:dyDescent="0.25">
      <c r="A10" s="113" t="s">
        <v>168</v>
      </c>
      <c r="B10" s="114">
        <f>INDEX('P&amp;L MONTHLY'!$AF$6:$AJ$24,MATCH(COMMENTS!$A10,'P&amp;L MONTHLY'!$A$6:$A$24,0),MATCH(COMMENTS!B$3,'P&amp;L MONTHLY'!$AF$5:$AJ$5,0))</f>
        <v>1.7061026770278799E-2</v>
      </c>
      <c r="C10" s="114">
        <f>INDEX('P&amp;L MONTHLY'!$AF$6:$AJ$24,MATCH(COMMENTS!$A10,'P&amp;L MONTHLY'!$A$6:$A$24,0),MATCH(COMMENTS!C$3,'P&amp;L MONTHLY'!$AF$5:$AJ$5,0))</f>
        <v>4.8865506904061079E-2</v>
      </c>
      <c r="D10" s="114">
        <f>INDEX('P&amp;L MONTHLY'!$AF$6:$AJ$24,MATCH(COMMENTS!$A10,'P&amp;L MONTHLY'!$A$6:$A$24,0),MATCH(COMMENTS!D$3,'P&amp;L MONTHLY'!$AF$5:$AJ$5,0))</f>
        <v>5.244530666703287E-2</v>
      </c>
      <c r="E10" s="114">
        <f>INDEX('P&amp;L MONTHLY'!$AF$6:$AJ$24,MATCH(COMMENTS!$A10,'P&amp;L MONTHLY'!$A$6:$A$24,0),MATCH(COMMENTS!E$3,'P&amp;L MONTHLY'!$AF$5:$AJ$5,0))</f>
        <v>-3.5384279896754071E-2</v>
      </c>
      <c r="F10" s="115">
        <f>INDEX('P&amp;L MONTHLY'!$AF$6:$AJ$24,MATCH(COMMENTS!$A10,'P&amp;L MONTHLY'!$A$6:$A$24,0),MATCH(COMMENTS!F$3,'P&amp;L MONTHLY'!$AF$5:$AJ$5,0))</f>
        <v>-0.6746891599166992</v>
      </c>
    </row>
    <row r="13" spans="1:10" x14ac:dyDescent="0.2">
      <c r="A13" s="134" t="s">
        <v>96</v>
      </c>
      <c r="B13" s="134"/>
      <c r="C13" s="134"/>
      <c r="D13" s="134"/>
      <c r="E13" s="134"/>
      <c r="F13" s="134"/>
    </row>
    <row r="14" spans="1:10" ht="15" customHeight="1" x14ac:dyDescent="0.2">
      <c r="A14" s="133" t="s">
        <v>222</v>
      </c>
      <c r="B14" s="133"/>
      <c r="C14" s="133"/>
      <c r="D14" s="133"/>
      <c r="E14" s="133"/>
      <c r="F14" s="133"/>
    </row>
    <row r="15" spans="1:10" x14ac:dyDescent="0.2">
      <c r="A15" s="133"/>
      <c r="B15" s="133"/>
      <c r="C15" s="133"/>
      <c r="D15" s="133"/>
      <c r="E15" s="133"/>
      <c r="F15" s="133"/>
    </row>
    <row r="16" spans="1:10" x14ac:dyDescent="0.2">
      <c r="A16" s="133"/>
      <c r="B16" s="133"/>
      <c r="C16" s="133"/>
      <c r="D16" s="133"/>
      <c r="E16" s="133"/>
      <c r="F16" s="133"/>
    </row>
    <row r="18" spans="1:6" x14ac:dyDescent="0.2">
      <c r="A18" s="134" t="s">
        <v>221</v>
      </c>
      <c r="B18" s="134"/>
      <c r="C18" s="134"/>
      <c r="D18" s="134"/>
      <c r="E18" s="134"/>
      <c r="F18" s="134"/>
    </row>
    <row r="19" spans="1:6" ht="12.75" customHeight="1" x14ac:dyDescent="0.2">
      <c r="A19" s="133" t="s">
        <v>223</v>
      </c>
      <c r="B19" s="133"/>
      <c r="C19" s="133"/>
      <c r="D19" s="133"/>
      <c r="E19" s="133"/>
      <c r="F19" s="133"/>
    </row>
    <row r="20" spans="1:6" x14ac:dyDescent="0.2">
      <c r="A20" s="133"/>
      <c r="B20" s="133"/>
      <c r="C20" s="133"/>
      <c r="D20" s="133"/>
      <c r="E20" s="133"/>
      <c r="F20" s="133"/>
    </row>
    <row r="21" spans="1:6" x14ac:dyDescent="0.2">
      <c r="A21" s="133"/>
      <c r="B21" s="133"/>
      <c r="C21" s="133"/>
      <c r="D21" s="133"/>
      <c r="E21" s="133"/>
      <c r="F21" s="133"/>
    </row>
    <row r="23" spans="1:6" x14ac:dyDescent="0.2">
      <c r="A23" s="134" t="s">
        <v>24</v>
      </c>
      <c r="B23" s="134"/>
      <c r="C23" s="134"/>
      <c r="D23" s="134"/>
      <c r="E23" s="134"/>
      <c r="F23" s="134"/>
    </row>
    <row r="24" spans="1:6" x14ac:dyDescent="0.2">
      <c r="A24" s="133" t="s">
        <v>215</v>
      </c>
      <c r="B24" s="133"/>
      <c r="C24" s="133"/>
      <c r="D24" s="133"/>
      <c r="E24" s="133"/>
      <c r="F24" s="133"/>
    </row>
    <row r="25" spans="1:6" x14ac:dyDescent="0.2">
      <c r="A25" s="133"/>
      <c r="B25" s="133"/>
      <c r="C25" s="133"/>
      <c r="D25" s="133"/>
      <c r="E25" s="133"/>
      <c r="F25" s="133"/>
    </row>
    <row r="26" spans="1:6" x14ac:dyDescent="0.2">
      <c r="A26" s="133"/>
      <c r="B26" s="133"/>
      <c r="C26" s="133"/>
      <c r="D26" s="133"/>
      <c r="E26" s="133"/>
      <c r="F26" s="133"/>
    </row>
    <row r="28" spans="1:6" x14ac:dyDescent="0.2">
      <c r="A28" s="134" t="s">
        <v>216</v>
      </c>
      <c r="B28" s="134"/>
      <c r="C28" s="134"/>
      <c r="D28" s="134"/>
      <c r="E28" s="134"/>
      <c r="F28" s="134"/>
    </row>
    <row r="29" spans="1:6" x14ac:dyDescent="0.2">
      <c r="A29" s="133" t="s">
        <v>220</v>
      </c>
      <c r="B29" s="133"/>
      <c r="C29" s="133"/>
      <c r="D29" s="133"/>
      <c r="E29" s="133"/>
      <c r="F29" s="133"/>
    </row>
    <row r="30" spans="1:6" x14ac:dyDescent="0.2">
      <c r="A30" s="133"/>
      <c r="B30" s="133"/>
      <c r="C30" s="133"/>
      <c r="D30" s="133"/>
      <c r="E30" s="133"/>
      <c r="F30" s="133"/>
    </row>
    <row r="31" spans="1:6" x14ac:dyDescent="0.2">
      <c r="A31" s="133"/>
      <c r="B31" s="133"/>
      <c r="C31" s="133"/>
      <c r="D31" s="133"/>
      <c r="E31" s="133"/>
      <c r="F31" s="133"/>
    </row>
    <row r="33" spans="1:6" ht="18.75" x14ac:dyDescent="0.3">
      <c r="A33" s="118" t="s">
        <v>219</v>
      </c>
      <c r="B33" s="116"/>
      <c r="C33" s="116"/>
      <c r="D33" s="116"/>
      <c r="E33" s="116"/>
      <c r="F33" s="116"/>
    </row>
    <row r="34" spans="1:6" ht="15" x14ac:dyDescent="0.25">
      <c r="A34" s="117" t="s">
        <v>217</v>
      </c>
      <c r="B34" s="116"/>
      <c r="C34" s="116"/>
      <c r="D34" s="116"/>
      <c r="E34" s="116"/>
      <c r="F34" s="116"/>
    </row>
    <row r="35" spans="1:6" ht="15" x14ac:dyDescent="0.25">
      <c r="A35" s="117" t="s">
        <v>218</v>
      </c>
      <c r="B35" s="116"/>
      <c r="C35" s="116"/>
      <c r="D35" s="116"/>
      <c r="E35" s="116"/>
      <c r="F35" s="116"/>
    </row>
  </sheetData>
  <mergeCells count="9">
    <mergeCell ref="A24:F26"/>
    <mergeCell ref="A28:F28"/>
    <mergeCell ref="A29:F31"/>
    <mergeCell ref="A1:F1"/>
    <mergeCell ref="A14:F16"/>
    <mergeCell ref="A19:F21"/>
    <mergeCell ref="A18:F18"/>
    <mergeCell ref="A13:F13"/>
    <mergeCell ref="A23:F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10A58-AFAD-40F0-8214-04B16D376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Account-Overview</vt:lpstr>
      <vt:lpstr>Actuals (from Accounting)</vt:lpstr>
      <vt:lpstr>Budget (from Controlling)</vt:lpstr>
      <vt:lpstr>Rev_by_region</vt:lpstr>
      <vt:lpstr>Budget (from Controlling)_copy</vt:lpstr>
      <vt:lpstr>tActuals</vt:lpstr>
      <vt:lpstr>P&amp;L ACTUALS</vt:lpstr>
      <vt:lpstr>P&amp;L ACTUALS+EST</vt:lpstr>
      <vt:lpstr>P&amp;L MONTHLY</vt:lpstr>
      <vt:lpstr>KPI TRENDS</vt:lpstr>
      <vt:lpstr>CHARTS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Geßler</dc:creator>
  <cp:lastModifiedBy>Adam W</cp:lastModifiedBy>
  <dcterms:created xsi:type="dcterms:W3CDTF">2015-06-05T18:19:34Z</dcterms:created>
  <dcterms:modified xsi:type="dcterms:W3CDTF">2026-05-02T14:02:24Z</dcterms:modified>
</cp:coreProperties>
</file>